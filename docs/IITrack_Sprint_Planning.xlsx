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43e00af6194326" /></Relationships>
</file>

<file path=xl/workbook.xml><?xml version="1.0" encoding="utf-8"?>
<x:workbook xmlns:x="http://schemas.openxmlformats.org/spreadsheetml/2006/main">
  <x:sheets>
    <x:sheet xmlns:r="http://schemas.openxmlformats.org/officeDocument/2006/relationships" name="Executive Plan" sheetId="1" r:id="Rf14447cdc2054638"/>
    <x:sheet xmlns:r="http://schemas.openxmlformats.org/officeDocument/2006/relationships" name="Sprint Summary" sheetId="2" r:id="R4041192315f74ea6"/>
    <x:sheet xmlns:r="http://schemas.openxmlformats.org/officeDocument/2006/relationships" name="Sprint Backlog" sheetId="3" r:id="R122b4de55c6a4f4c"/>
    <x:sheet xmlns:r="http://schemas.openxmlformats.org/officeDocument/2006/relationships" name="Capacity &amp; Reforecast" sheetId="4" r:id="Re43fff3d3c3d4380"/>
    <x:sheet xmlns:r="http://schemas.openxmlformats.org/officeDocument/2006/relationships" name="Dependencies" sheetId="5" r:id="R0f661b24f5cc4aa0"/>
    <x:sheet xmlns:r="http://schemas.openxmlformats.org/officeDocument/2006/relationships" name="Stretch Queue" sheetId="6" r:id="Red3b7026b72647a4"/>
    <x:sheet xmlns:r="http://schemas.openxmlformats.org/officeDocument/2006/relationships" name="NoLimit Benchmark" sheetId="7" r:id="Rc9bf39c5a04d4ea3"/>
    <x:sheet xmlns:r="http://schemas.openxmlformats.org/officeDocument/2006/relationships" name="Sources &amp; Rules" sheetId="8" r:id="R626aeb5293bf48d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4">
    <x:font>
      <x:sz val="11"/>
      <x:name val="Carlito"/>
    </x:font>
    <x:font>
      <x:b/>
      <x:sz val="11"/>
      <x:color rgb="FFFFFFFF"/>
      <x:name val="Carlito"/>
    </x:font>
    <x:font>
      <x:i/>
      <x:sz val="11"/>
      <x:color rgb="FF6D3A68"/>
      <x:name val="Carlito"/>
    </x:font>
    <x:font>
      <x:sz val="11"/>
      <x:color rgb="FF222222"/>
      <x:name val="Carlito"/>
    </x:font>
    <x:font>
      <x:sz val="11"/>
      <x:color rgb="FF5B3A10"/>
      <x:name val="Carlito"/>
    </x:font>
    <x:font>
      <x:b/>
      <x:sz val="11"/>
      <x:color rgb="FFFFFFFF"/>
      <x:name val="Aptos"/>
    </x:font>
    <x:font>
      <x:i/>
      <x:sz val="11"/>
      <x:color rgb="FF6D3A68"/>
      <x:name val="Aptos"/>
    </x:font>
    <x:font>
      <x:sz val="11"/>
      <x:name val="Aptos"/>
    </x:font>
    <x:font>
      <x:sz val="11"/>
      <x:color rgb="FF222222"/>
      <x:name val="Aptos"/>
    </x:font>
    <x:font>
      <x:sz val="11"/>
      <x:color rgb="FF5B3A10"/>
      <x:name val="Aptos"/>
    </x:font>
    <x:font>
      <x:b/>
      <x:sz val="11"/>
      <x:color rgb="FF4B2545"/>
      <x:name val="Carlito"/>
    </x:font>
    <x:font>
      <x:sz val="11"/>
      <x:color rgb="FF1155CC"/>
      <x:name val="Carlito"/>
    </x:font>
    <x:font>
      <x:b/>
      <x:sz val="11"/>
      <x:color rgb="FF4B2545"/>
      <x:name val="Aptos"/>
    </x:font>
    <x:font>
      <x:sz val="11"/>
      <x:color rgb="FF1155CC"/>
      <x:name val="Aptos"/>
    </x:font>
  </x:fonts>
  <x:fills count="9">
    <x:fill>
      <x:patternFill patternType="none"/>
    </x:fill>
    <x:fill>
      <x:patternFill patternType="gray125"/>
    </x:fill>
    <x:fill>
      <x:patternFill patternType="solid">
        <x:fgColor rgb="FF4B2545"/>
      </x:patternFill>
    </x:fill>
    <x:fill>
      <x:patternFill patternType="solid">
        <x:fgColor rgb="FFEDE6F2"/>
      </x:patternFill>
    </x:fill>
    <x:fill>
      <x:patternFill patternType="solid">
        <x:fgColor rgb="FF6D3A68"/>
      </x:patternFill>
    </x:fill>
    <x:fill>
      <x:patternFill patternType="solid">
        <x:fgColor rgb="FFD28A35"/>
      </x:patternFill>
    </x:fill>
    <x:fill>
      <x:patternFill patternType="solid">
        <x:fgColor rgb="FFFFF2DE"/>
      </x:patternFill>
    </x:fill>
    <x:fill>
      <x:patternFill patternType="solid">
        <x:fgColor rgb="FFD9EAF7"/>
      </x:patternFill>
    </x:fill>
    <x:fill>
      <x:patternFill patternType="solid">
        <x:fgColor rgb="FFD9EAD3"/>
      </x:patternFill>
    </x:fill>
  </x:fills>
  <x:borders count="18">
    <x:border/>
    <x:border>
      <x:left style="thin">
        <x:color rgb="FFD1D5DB"/>
      </x:left>
      <x:right style="thin">
        <x:color rgb="FFD1D5DB"/>
      </x:right>
      <x:top style="thin">
        <x:color rgb="FFD1D5DB"/>
      </x:top>
      <x:bottom style="thin">
        <x:color rgb="FFD1D5DB"/>
      </x:bottom>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left style="thin">
        <x:color rgb="FFD1D5DB"/>
      </x:left>
      <x:right style="thin">
        <x:color rgb="FFD1D5DB"/>
      </x:right>
      <x:bottom style="thin">
        <x:color rgb="FFD1D5DB"/>
      </x:bottom>
    </x:border>
    <x:border>
      <x:left style="thin">
        <x:color rgb="FFD1D5DB"/>
      </x:left>
      <x:right style="thin">
        <x:color rgb="FFD1D5DB"/>
      </x:right>
      <x:top style="thin">
        <x:color rgb="FFD1D5DB"/>
      </x:top>
    </x:border>
    <x:border>
      <x:left style="thin">
        <x:color rgb="FFD28A35"/>
      </x:left>
      <x:top style="thin">
        <x:color rgb="FFD28A35"/>
      </x:top>
    </x:border>
    <x:border>
      <x:top style="thin">
        <x:color rgb="FFD28A35"/>
      </x:top>
    </x:border>
    <x:border>
      <x:right style="thin">
        <x:color rgb="FFD28A35"/>
      </x:right>
      <x:top style="thin">
        <x:color rgb="FFD28A35"/>
      </x:top>
    </x:border>
    <x:border>
      <x:left style="thin">
        <x:color rgb="FFD28A35"/>
      </x:left>
    </x:border>
    <x:border>
      <x:right style="thin">
        <x:color rgb="FFD28A35"/>
      </x:right>
    </x:border>
    <x:border>
      <x:left style="thin">
        <x:color rgb="FFD28A35"/>
      </x:left>
      <x:bottom style="thin">
        <x:color rgb="FFD28A35"/>
      </x:bottom>
    </x:border>
    <x:border>
      <x:bottom style="thin">
        <x:color rgb="FFD28A35"/>
      </x:bottom>
    </x:border>
    <x:border>
      <x:right style="thin">
        <x:color rgb="FFD28A35"/>
      </x:right>
      <x:bottom style="thin">
        <x:color rgb="FFD28A35"/>
      </x:bottom>
    </x:border>
  </x:borders>
  <x:cellStyleXfs count="1">
    <x:xf numFmtId="0" fontId="0" fillId="0" borderId="0"/>
  </x:cellStyleXfs>
  <x:cellXfs count="1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x:xf numFmtId="0" fontId="3" fillId="0" borderId="1" xfId="0" applyNumberFormat="1" applyFont="1" applyFill="1" applyBorder="1"/>
    <x:xf numFmtId="0" fontId="3" fillId="0" borderId="9" xfId="0" applyNumberFormat="1" applyFont="1" applyFill="1" applyBorder="1"/>
    <x:xf numFmtId="0" fontId="3" fillId="0" borderId="8"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8"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9" xfId="0" applyNumberFormat="1" applyFont="1" applyFill="1" applyBorder="1" applyAlignment="1">
      <x:alignment vertical="top" wrapText="1"/>
    </x:xf>
    <x:xf numFmtId="200" fontId="3" fillId="0" borderId="8"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0" fontId="3" fillId="0" borderId="9"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left"/>
    </x:xf>
    <x:xf numFmtId="0" fontId="0" fillId="6" borderId="0" xfId="0" applyNumberFormat="1" applyFont="1" applyFill="1" applyBorder="1"/>
    <x:xf numFmtId="0" fontId="4" fillId="6" borderId="0"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12" xfId="0" applyNumberFormat="1" applyFont="1" applyFill="1" applyBorder="1"/>
    <x:xf numFmtId="0" fontId="4" fillId="6" borderId="13" xfId="0" applyNumberFormat="1" applyFont="1" applyFill="1" applyBorder="1"/>
    <x:xf numFmtId="0" fontId="4" fillId="6" borderId="14" xfId="0" applyNumberFormat="1" applyFont="1" applyFill="1" applyBorder="1"/>
    <x:xf numFmtId="0" fontId="4" fillId="6" borderId="15" xfId="0" applyNumberFormat="1" applyFont="1" applyFill="1" applyBorder="1"/>
    <x:xf numFmtId="0" fontId="4" fillId="6" borderId="16" xfId="0" applyNumberFormat="1" applyFont="1" applyFill="1" applyBorder="1"/>
    <x:xf numFmtId="0" fontId="4" fillId="6" borderId="17" xfId="0" applyNumberFormat="1" applyFont="1" applyFill="1" applyBorder="1"/>
    <x:xf numFmtId="0" fontId="4" fillId="6" borderId="1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12" xfId="0" applyNumberFormat="1" applyFont="1" applyFill="1" applyBorder="1" applyAlignment="1">
      <x:alignment wrapText="1"/>
    </x:xf>
    <x:xf numFmtId="0" fontId="4" fillId="6" borderId="13"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4" xfId="0" applyNumberFormat="1" applyFont="1" applyFill="1" applyBorder="1" applyAlignment="1">
      <x:alignment wrapText="1"/>
    </x:xf>
    <x:xf numFmtId="0" fontId="4" fillId="6" borderId="15" xfId="0" applyNumberFormat="1" applyFont="1" applyFill="1" applyBorder="1" applyAlignment="1">
      <x:alignment wrapText="1"/>
    </x:xf>
    <x:xf numFmtId="0" fontId="4" fillId="6" borderId="16" xfId="0" applyNumberFormat="1" applyFont="1" applyFill="1" applyBorder="1" applyAlignment="1">
      <x:alignment wrapText="1"/>
    </x:xf>
    <x:xf numFmtId="0" fontId="4" fillId="6" borderId="17" xfId="0" applyNumberFormat="1" applyFont="1" applyFill="1" applyBorder="1" applyAlignment="1">
      <x:alignment wrapText="1"/>
    </x:xf>
    <x:xf numFmtId="0" fontId="5" fillId="2" borderId="0" xfId="0" applyNumberFormat="1" applyFont="1" applyFill="1" applyBorder="1" applyAlignment="1">
      <x:alignment horizontal="left" vertical="center"/>
    </x:xf>
    <x:xf numFmtId="0" fontId="6" fillId="3" borderId="0" xfId="0" applyNumberFormat="1" applyFont="1" applyFill="1" applyBorder="1" applyAlignment="1">
      <x:alignment wrapText="1"/>
    </x:xf>
    <x:xf numFmtId="0" fontId="7" fillId="0" borderId="0" xfId="0" applyNumberFormat="1" applyFont="1" applyFill="1" applyBorder="1"/>
    <x:xf numFmtId="0" fontId="5" fillId="4" borderId="1" xfId="0" applyNumberFormat="1" applyFont="1" applyFill="1" applyBorder="1" applyAlignment="1">
      <x:alignment vertical="center"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200" fontId="8" fillId="0" borderId="8" xfId="0" applyNumberFormat="1" applyFont="1" applyFill="1" applyBorder="1" applyAlignment="1">
      <x:alignment vertical="top" wrapText="1"/>
    </x:xf>
    <x:xf numFmtId="0" fontId="8" fillId="0" borderId="1" xfId="0" applyNumberFormat="1" applyFont="1" applyFill="1" applyBorder="1" applyAlignment="1">
      <x:alignment vertical="top" wrapText="1"/>
    </x:xf>
    <x:xf numFmtId="200" fontId="8" fillId="0" borderId="1" xfId="0" applyNumberFormat="1" applyFont="1" applyFill="1" applyBorder="1" applyAlignment="1">
      <x:alignment vertical="top" wrapText="1"/>
    </x:xf>
    <x:xf numFmtId="0" fontId="8" fillId="0" borderId="9" xfId="0" applyNumberFormat="1" applyFont="1" applyFill="1" applyBorder="1" applyAlignment="1">
      <x:alignment vertical="top" wrapText="1"/>
    </x:xf>
    <x:xf numFmtId="200" fontId="8" fillId="0" borderId="9" xfId="0" applyNumberFormat="1" applyFont="1" applyFill="1" applyBorder="1" applyAlignment="1">
      <x:alignment vertical="top" wrapText="1"/>
    </x:xf>
    <x:xf numFmtId="0" fontId="5" fillId="5" borderId="0" xfId="0" applyNumberFormat="1" applyFont="1" applyFill="1" applyBorder="1" applyAlignment="1">
      <x:alignment horizontal="left"/>
    </x:xf>
    <x:xf numFmtId="0" fontId="9" fillId="6" borderId="10" xfId="0" applyNumberFormat="1" applyFont="1" applyFill="1" applyBorder="1" applyAlignment="1">
      <x:alignment wrapText="1"/>
    </x:xf>
    <x:xf numFmtId="0" fontId="9" fillId="6" borderId="11" xfId="0" applyNumberFormat="1" applyFont="1" applyFill="1" applyBorder="1" applyAlignment="1">
      <x:alignment wrapText="1"/>
    </x:xf>
    <x:xf numFmtId="0" fontId="9" fillId="6" borderId="12" xfId="0" applyNumberFormat="1" applyFont="1" applyFill="1" applyBorder="1" applyAlignment="1">
      <x:alignment wrapText="1"/>
    </x:xf>
    <x:xf numFmtId="0" fontId="9" fillId="6" borderId="13" xfId="0" applyNumberFormat="1" applyFont="1" applyFill="1" applyBorder="1" applyAlignment="1">
      <x:alignment wrapText="1"/>
    </x:xf>
    <x:xf numFmtId="0" fontId="9" fillId="6" borderId="0" xfId="0" applyNumberFormat="1" applyFont="1" applyFill="1" applyBorder="1" applyAlignment="1">
      <x:alignment wrapText="1"/>
    </x:xf>
    <x:xf numFmtId="0" fontId="9" fillId="6" borderId="14" xfId="0" applyNumberFormat="1" applyFont="1" applyFill="1" applyBorder="1" applyAlignment="1">
      <x:alignment wrapText="1"/>
    </x:xf>
    <x:xf numFmtId="0" fontId="9" fillId="6" borderId="15" xfId="0" applyNumberFormat="1" applyFont="1" applyFill="1" applyBorder="1" applyAlignment="1">
      <x:alignment wrapText="1"/>
    </x:xf>
    <x:xf numFmtId="0" fontId="9" fillId="6" borderId="16" xfId="0" applyNumberFormat="1" applyFont="1" applyFill="1" applyBorder="1" applyAlignment="1">
      <x:alignment wrapText="1"/>
    </x:xf>
    <x:xf numFmtId="0" fontId="9" fillId="6" borderId="17" xfId="0" applyNumberFormat="1" applyFont="1" applyFill="1" applyBorder="1" applyAlignment="1">
      <x:alignment wrapText="1"/>
    </x:xf>
    <x:xf numFmtId="0" fontId="10" fillId="3" borderId="0" xfId="0" applyNumberFormat="1" applyFont="1" applyFill="1" applyBorder="1"/>
    <x:xf numFmtId="0" fontId="10" fillId="3" borderId="1" xfId="0" applyNumberFormat="1" applyFont="1" applyFill="1" applyBorder="1"/>
    <x:xf numFmtId="200" fontId="10" fillId="3" borderId="1" xfId="0" applyNumberFormat="1" applyFont="1" applyFill="1" applyBorder="1"/>
    <x:xf numFmtId="201" fontId="3" fillId="0" borderId="8" xfId="0" applyNumberFormat="1" applyFont="1" applyFill="1" applyBorder="1" applyAlignment="1">
      <x:alignment vertical="top" wrapText="1"/>
    </x:xf>
    <x:xf numFmtId="201" fontId="3" fillId="0" borderId="1" xfId="0" applyNumberFormat="1" applyFont="1" applyFill="1" applyBorder="1" applyAlignment="1">
      <x:alignment vertical="top" wrapText="1"/>
    </x:xf>
    <x:xf numFmtId="201" fontId="3" fillId="0" borderId="9" xfId="0" applyNumberFormat="1" applyFont="1" applyFill="1" applyBorder="1" applyAlignment="1">
      <x:alignment vertical="top" wrapText="1"/>
    </x:xf>
    <x:xf numFmtId="200" fontId="3" fillId="7" borderId="8" xfId="0" applyNumberFormat="1" applyFont="1" applyFill="1" applyBorder="1" applyAlignment="1">
      <x:alignment vertical="top" wrapText="1"/>
    </x:xf>
    <x:xf numFmtId="200" fontId="3" fillId="7" borderId="1" xfId="0" applyNumberFormat="1" applyFont="1" applyFill="1" applyBorder="1" applyAlignment="1">
      <x:alignment vertical="top" wrapText="1"/>
    </x:xf>
    <x:xf numFmtId="200" fontId="3" fillId="7" borderId="9" xfId="0" applyNumberFormat="1" applyFont="1" applyFill="1" applyBorder="1" applyAlignment="1">
      <x:alignment vertical="top" wrapText="1"/>
    </x:xf>
    <x:xf numFmtId="0" fontId="3" fillId="0" borderId="2"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xf numFmtId="0" fontId="3" fillId="0" borderId="9" xfId="0" applyNumberFormat="1" applyFont="1" applyFill="1" applyBorder="1" applyAlignment="1">
      <x:alignment horizontal="center" vertical="top" wrapText="1"/>
    </x:xf>
    <x:xf numFmtId="200" fontId="3" fillId="0" borderId="8" xfId="0" applyNumberFormat="1" applyFont="1" applyFill="1" applyBorder="1" applyAlignment="1">
      <x:alignment horizontal="center" vertical="top" wrapText="1"/>
    </x:xf>
    <x:xf numFmtId="200" fontId="3" fillId="0" borderId="1" xfId="0" applyNumberFormat="1" applyFont="1" applyFill="1" applyBorder="1" applyAlignment="1">
      <x:alignment horizontal="center" vertical="top" wrapText="1"/>
    </x:xf>
    <x:xf numFmtId="200" fontId="3" fillId="0" borderId="9" xfId="0" applyNumberFormat="1" applyFont="1" applyFill="1" applyBorder="1" applyAlignment="1">
      <x:alignment horizontal="center" vertical="top" wrapText="1"/>
    </x:xf>
    <x:xf numFmtId="0" fontId="11" fillId="0" borderId="3"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0" borderId="7" xfId="0" applyNumberFormat="1" applyFont="1" applyFill="1" applyBorder="1" applyAlignment="1">
      <x:alignment vertical="top" wrapText="1"/>
    </x:xf>
    <x:xf numFmtId="0" fontId="12" fillId="3" borderId="1" xfId="0" applyNumberFormat="1" applyFont="1" applyFill="1" applyBorder="1"/>
    <x:xf numFmtId="200" fontId="12" fillId="3" borderId="1" xfId="0" applyNumberFormat="1" applyFont="1" applyFill="1" applyBorder="1"/>
    <x:xf numFmtId="200" fontId="8" fillId="7" borderId="8" xfId="0" applyNumberFormat="1" applyFont="1" applyFill="1" applyBorder="1" applyAlignment="1">
      <x:alignment vertical="top" wrapText="1"/>
    </x:xf>
    <x:xf numFmtId="201" fontId="8" fillId="0" borderId="8" xfId="0" applyNumberFormat="1" applyFont="1" applyFill="1" applyBorder="1" applyAlignment="1">
      <x:alignment vertical="top" wrapText="1"/>
    </x:xf>
    <x:xf numFmtId="200" fontId="8" fillId="7" borderId="1" xfId="0" applyNumberFormat="1" applyFont="1" applyFill="1" applyBorder="1" applyAlignment="1">
      <x:alignment vertical="top" wrapText="1"/>
    </x:xf>
    <x:xf numFmtId="201" fontId="8" fillId="0" borderId="1" xfId="0" applyNumberFormat="1" applyFont="1" applyFill="1" applyBorder="1" applyAlignment="1">
      <x:alignment vertical="top" wrapText="1"/>
    </x:xf>
    <x:xf numFmtId="200" fontId="8" fillId="7" borderId="9" xfId="0" applyNumberFormat="1" applyFont="1" applyFill="1" applyBorder="1" applyAlignment="1">
      <x:alignment vertical="top" wrapText="1"/>
    </x:xf>
    <x:xf numFmtId="201" fontId="8" fillId="0" borderId="9" xfId="0" applyNumberFormat="1" applyFont="1" applyFill="1" applyBorder="1" applyAlignment="1">
      <x:alignment vertical="top" wrapText="1"/>
    </x:xf>
    <x:xf numFmtId="0" fontId="8" fillId="0" borderId="2" xfId="0" applyNumberFormat="1" applyFont="1" applyFill="1" applyBorder="1" applyAlignment="1">
      <x:alignment horizontal="center" vertical="top" wrapText="1"/>
    </x:xf>
    <x:xf numFmtId="0" fontId="8" fillId="0" borderId="8" xfId="0" applyNumberFormat="1" applyFont="1" applyFill="1" applyBorder="1" applyAlignment="1">
      <x:alignment horizontal="center" vertical="top" wrapText="1"/>
    </x:xf>
    <x:xf numFmtId="200" fontId="8" fillId="0" borderId="8" xfId="0" applyNumberFormat="1" applyFont="1" applyFill="1" applyBorder="1" applyAlignment="1">
      <x:alignment horizontal="center" vertical="top" wrapText="1"/>
    </x:xf>
    <x:xf numFmtId="0" fontId="8" fillId="0" borderId="4"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200" fontId="8" fillId="0" borderId="1" xfId="0" applyNumberFormat="1" applyFont="1" applyFill="1" applyBorder="1" applyAlignment="1">
      <x:alignment horizontal="center" vertical="top" wrapText="1"/>
    </x:xf>
    <x:xf numFmtId="0" fontId="8" fillId="0" borderId="6" xfId="0" applyNumberFormat="1" applyFont="1" applyFill="1" applyBorder="1" applyAlignment="1">
      <x:alignment horizontal="center" vertical="top" wrapText="1"/>
    </x:xf>
    <x:xf numFmtId="0" fontId="8" fillId="0" borderId="9" xfId="0" applyNumberFormat="1" applyFont="1" applyFill="1" applyBorder="1" applyAlignment="1">
      <x:alignment horizontal="center" vertical="top" wrapText="1"/>
    </x:xf>
    <x:xf numFmtId="200" fontId="8" fillId="0" borderId="9" xfId="0" applyNumberFormat="1" applyFont="1" applyFill="1" applyBorder="1" applyAlignment="1">
      <x:alignment horizontal="center" vertical="top" wrapText="1"/>
    </x:xf>
    <x:xf numFmtId="0" fontId="13" fillId="0" borderId="3"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200" fontId="8" fillId="8" borderId="8" xfId="0" applyNumberFormat="1" applyFont="1" applyFill="1" applyBorder="1" applyAlignment="1">
      <x:alignment vertical="top" wrapText="1"/>
    </x:xf>
    <x:xf numFmtId="200" fontId="8" fillId="8" borderId="1" xfId="0" applyNumberFormat="1" applyFont="1" applyFill="1" applyBorder="1" applyAlignment="1">
      <x:alignment vertical="top" wrapText="1"/>
    </x:xf>
    <x:xf numFmtId="200" fontId="8" fillId="8" borderId="9" xfId="0" applyNumberFormat="1" applyFont="1" applyFill="1" applyBorder="1" applyAlignment="1">
      <x:alignment vertical="top" wrapText="1"/>
    </x:xf>
    <x:xf numFmtId="200" fontId="8" fillId="3" borderId="8" xfId="0" applyNumberFormat="1" applyFont="1" applyFill="1" applyBorder="1" applyAlignment="1">
      <x:alignment vertical="top" wrapText="1"/>
    </x:xf>
    <x:xf numFmtId="200" fontId="8" fillId="3" borderId="1" xfId="0" applyNumberFormat="1" applyFont="1" applyFill="1" applyBorder="1" applyAlignment="1">
      <x:alignment vertical="top" wrapText="1"/>
    </x:xf>
    <x:xf numFmtId="200" fontId="8" fillId="3" borderId="9"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8" borderId="2" xfId="0" applyNumberFormat="1" applyFont="1" applyFill="1" applyBorder="1" applyAlignment="1">
      <x:alignment horizontal="center" vertical="top" wrapText="1"/>
    </x:xf>
    <x:xf numFmtId="0" fontId="8" fillId="8" borderId="8" xfId="0" applyNumberFormat="1" applyFont="1" applyFill="1" applyBorder="1" applyAlignment="1">
      <x:alignment horizontal="center" vertical="top" wrapText="1"/>
    </x:xf>
    <x:xf numFmtId="200" fontId="8" fillId="8" borderId="8" xfId="0" applyNumberFormat="1" applyFont="1" applyFill="1" applyBorder="1" applyAlignment="1">
      <x:alignment horizontal="center" vertical="top" wrapText="1"/>
    </x:xf>
    <x:xf numFmtId="0" fontId="8" fillId="8" borderId="8"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horizontal="center" vertical="top" wrapText="1"/>
    </x:xf>
    <x:xf numFmtId="0" fontId="8" fillId="8" borderId="1" xfId="0" applyNumberFormat="1" applyFont="1" applyFill="1" applyBorder="1" applyAlignment="1">
      <x:alignment horizontal="center" vertical="top" wrapText="1"/>
    </x:xf>
    <x:xf numFmtId="200" fontId="8" fillId="8" borderId="1" xfId="0" applyNumberFormat="1" applyFont="1" applyFill="1" applyBorder="1" applyAlignment="1">
      <x:alignment horizontal="center" vertical="top" wrapText="1"/>
    </x:xf>
    <x:xf numFmtId="0" fontId="8" fillId="8" borderId="1" xfId="0" applyNumberFormat="1" applyFont="1" applyFill="1" applyBorder="1" applyAlignment="1">
      <x:alignment vertical="top" wrapText="1"/>
    </x:xf>
    <x:xf numFmtId="0" fontId="8" fillId="8"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f60623493542fa" /><Relationship Type="http://schemas.openxmlformats.org/officeDocument/2006/relationships/theme" Target="/xl/theme/theme1.xml" Id="Rc120e1b5b63544c6" /><Relationship Type="http://schemas.openxmlformats.org/officeDocument/2006/relationships/sharedStrings" Target="/xl/sharedStrings.xml" Id="R33001fe42e72462c" /><Relationship Type="http://schemas.openxmlformats.org/officeDocument/2006/relationships/worksheet" Target="/xl/worksheets/sheet1.xml" Id="Rf14447cdc2054638" /><Relationship Type="http://schemas.openxmlformats.org/officeDocument/2006/relationships/worksheet" Target="/xl/worksheets/sheet2.xml" Id="R4041192315f74ea6" /><Relationship Type="http://schemas.openxmlformats.org/officeDocument/2006/relationships/worksheet" Target="/xl/worksheets/sheet3.xml" Id="R122b4de55c6a4f4c" /><Relationship Type="http://schemas.openxmlformats.org/officeDocument/2006/relationships/worksheet" Target="/xl/worksheets/sheet4.xml" Id="Re43fff3d3c3d4380" /><Relationship Type="http://schemas.openxmlformats.org/officeDocument/2006/relationships/worksheet" Target="/xl/worksheets/sheet5.xml" Id="R0f661b24f5cc4aa0" /><Relationship Type="http://schemas.openxmlformats.org/officeDocument/2006/relationships/worksheet" Target="/xl/worksheets/sheet6.xml" Id="Red3b7026b72647a4" /><Relationship Type="http://schemas.openxmlformats.org/officeDocument/2006/relationships/worksheet" Target="/xl/worksheets/sheet7.xml" Id="Rc9bf39c5a04d4ea3" /><Relationship Type="http://schemas.openxmlformats.org/officeDocument/2006/relationships/worksheet" Target="/xl/worksheets/sheet8.xml" Id="R626aeb5293bf48d6" /></Relationships>
</file>

<file path=xl/tables/table1.xml><?xml version="1.0" encoding="utf-8"?>
<x:table xmlns:x="http://schemas.openxmlformats.org/spreadsheetml/2006/main" id="1" name="SprintBacklogTable" displayName="SprintBacklogTable" ref="A4:O77" headerRowCount="1" totalsRowCount="0" totalsRowShown="0">
  <x:tableColumns count="15">
    <x:tableColumn id="1" name="Backlog ID"/>
    <x:tableColumn id="2" name="Type"/>
    <x:tableColumn id="3" name="Sprint"/>
    <x:tableColumn id="4" name="Feature ID"/>
    <x:tableColumn id="5" name="Feature"/>
    <x:tableColumn id="6" name="Workstream"/>
    <x:tableColumn id="7" name="Title / Task"/>
    <x:tableColumn id="8" name="Priority"/>
    <x:tableColumn id="9" name="Commitment"/>
    <x:tableColumn id="10" name="Estimate h"/>
    <x:tableColumn id="11" name="Owner"/>
    <x:tableColumn id="12" name="Blocked by"/>
    <x:tableColumn id="13" name="Acceptance / DoD"/>
    <x:tableColumn id="14" name="UAT reference"/>
    <x:tableColumn id="15" name="Source"/>
  </x:tableColumns>
  <x:tableStyleInfo name="TableStyleMedium4" showFirstColumn="0" showLastColumn="0" showRowStripes="1" showColumnStripes="0"/>
</x:table>
</file>

<file path=xl/tables/table2.xml><?xml version="1.0" encoding="utf-8"?>
<x:table xmlns:x="http://schemas.openxmlformats.org/spreadsheetml/2006/main" id="2" name="DependenciesTable" displayName="DependenciesTable" ref="A4:I12" headerRowCount="1" totalsRowCount="0" totalsRowShown="0">
  <x:tableColumns count="9">
    <x:tableColumn id="1" name="ID"/>
    <x:tableColumn id="2" name="Type"/>
    <x:tableColumn id="3" name="Dependency / decision"/>
    <x:tableColumn id="4" name="Owner"/>
    <x:tableColumn id="5" name="Due"/>
    <x:tableColumn id="6" name="Blocks"/>
    <x:tableColumn id="7" name="Status"/>
    <x:tableColumn id="8" name="Expected output / acceptance"/>
    <x:tableColumn id="9" name="Source"/>
  </x:tableColumns>
  <x:tableStyleInfo name="TableStyleMedium4" showFirstColumn="0" showLastColumn="0" showRowStripes="1" showColumnStripes="0"/>
</x:table>
</file>

<file path=xl/tables/table3.xml><?xml version="1.0" encoding="utf-8"?>
<x:table xmlns:x="http://schemas.openxmlformats.org/spreadsheetml/2006/main" id="3" name="StretchQueueTable" displayName="StretchQueueTable" ref="A4:K18" headerRowCount="1" totalsRowCount="0" totalsRowShown="0">
  <x:tableColumns count="11">
    <x:tableColumn id="1" name="Rank"/>
    <x:tableColumn id="2" name="Feature ID"/>
    <x:tableColumn id="3" name="Feature"/>
    <x:tableColumn id="4" name="MoSCoW"/>
    <x:tableColumn id="5" name="Estimate h"/>
    <x:tableColumn id="6" name="Business value (1–5)"/>
    <x:tableColumn id="7" name="Risk reduction (1–5)"/>
    <x:tableColumn id="8" name="Readiness (1–5)"/>
    <x:tableColumn id="9" name="Suggested slot"/>
    <x:tableColumn id="10" name="Pull condition / rationale"/>
    <x:tableColumn id="11" name="Sourc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5a027f5ee2243d9" /></Relationships>
</file>

<file path=xl/worksheets/_rels/sheet5.xml.rels>&#65279;<?xml version="1.0" encoding="utf-8"?><Relationships xmlns="http://schemas.openxmlformats.org/package/2006/relationships"><Relationship Type="http://schemas.openxmlformats.org/officeDocument/2006/relationships/table" Target="/xl/tables/table2.xml" Id="Rbbf9fd9c596a45cd" /></Relationships>
</file>

<file path=xl/worksheets/_rels/sheet6.xml.rels>&#65279;<?xml version="1.0" encoding="utf-8"?><Relationships xmlns="http://schemas.openxmlformats.org/package/2006/relationships"><Relationship Type="http://schemas.openxmlformats.org/officeDocument/2006/relationships/table" Target="/xl/tables/table3.xml" Id="R33fca4f73dfc4699"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5" hidden="0" customWidth="1"/>
    <x:col min="3" max="3" width="30" hidden="0" customWidth="1"/>
    <x:col min="4" max="4" width="11" hidden="0" customWidth="1"/>
    <x:col min="5" max="5" width="11" hidden="0" customWidth="1"/>
    <x:col min="6" max="6" width="11" hidden="0" customWidth="1"/>
    <x:col min="7" max="7" width="12" hidden="0" customWidth="1"/>
    <x:col min="8" max="8" width="11" hidden="0" customWidth="1"/>
    <x:col min="9" max="9" width="26" hidden="0" customWidth="1"/>
    <x:col min="10" max="10" width="46" hidden="0" customWidth="1"/>
  </x:cols>
  <x:sheetData>
    <x:row r="1" ht="30" customHeight="1">
      <x:c r="A1" s="66" t="str">
        <x:v>IITrack Sprint Planning</x:v>
      </x:c>
      <x:c r="B1" s="66" t="str">
        <x:v>IITrack Sprint Planning</x:v>
      </x:c>
      <x:c r="C1" s="66" t="str">
        <x:v>IITrack Sprint Planning</x:v>
      </x:c>
      <x:c r="D1" s="66" t="str">
        <x:v>IITrack Sprint Planning</x:v>
      </x:c>
      <x:c r="E1" s="66" t="str">
        <x:v>IITrack Sprint Planning</x:v>
      </x:c>
      <x:c r="F1" s="66" t="str">
        <x:v>IITrack Sprint Planning</x:v>
      </x:c>
      <x:c r="G1" s="66" t="str">
        <x:v>IITrack Sprint Planning</x:v>
      </x:c>
      <x:c r="H1" s="66" t="str">
        <x:v>IITrack Sprint Planning</x:v>
      </x:c>
      <x:c r="I1" s="66" t="str">
        <x:v>IITrack Sprint Planning</x:v>
      </x:c>
      <x:c r="J1" s="66" t="str">
        <x:v>IITrack Sprint Planning</x:v>
      </x:c>
    </x:row>
    <x:row r="2" ht="26" customHeight="1">
      <x:c r="A2" s="67" t="str">
        <x:v>PM baseline • PRD 30 Aug 2026 is authoritative • benchmarked against NoLimit Billing System backlog</x:v>
      </x:c>
      <x:c r="B2" s="67" t="str">
        <x:v>PM baseline • PRD 30 Aug 2026 is authoritative • benchmarked against NoLimit Billing System backlog</x:v>
      </x:c>
      <x:c r="C2" s="67" t="str">
        <x:v>PM baseline • PRD 30 Aug 2026 is authoritative • benchmarked against NoLimit Billing System backlog</x:v>
      </x:c>
      <x:c r="D2" s="67" t="str">
        <x:v>PM baseline • PRD 30 Aug 2026 is authoritative • benchmarked against NoLimit Billing System backlog</x:v>
      </x:c>
      <x:c r="E2" s="67" t="str">
        <x:v>PM baseline • PRD 30 Aug 2026 is authoritative • benchmarked against NoLimit Billing System backlog</x:v>
      </x:c>
      <x:c r="F2" s="67" t="str">
        <x:v>PM baseline • PRD 30 Aug 2026 is authoritative • benchmarked against NoLimit Billing System backlog</x:v>
      </x:c>
      <x:c r="G2" s="67" t="str">
        <x:v>PM baseline • PRD 30 Aug 2026 is authoritative • benchmarked against NoLimit Billing System backlog</x:v>
      </x:c>
      <x:c r="H2" s="67" t="str">
        <x:v>PM baseline • PRD 30 Aug 2026 is authoritative • benchmarked against NoLimit Billing System backlog</x:v>
      </x:c>
      <x:c r="I2" s="67" t="str">
        <x:v>PM baseline • PRD 30 Aug 2026 is authoritative • benchmarked against NoLimit Billing System backlog</x:v>
      </x:c>
      <x:c r="J2" s="67" t="str">
        <x:v>PM baseline • PRD 30 Aug 2026 is authoritative • benchmarked against NoLimit Billing System backlog</x:v>
      </x:c>
    </x:row>
    <x:row r="3">
      <x:c r="A3" s="68"/>
      <x:c r="B3" s="68"/>
      <x:c r="C3" s="68"/>
      <x:c r="D3" s="68"/>
      <x:c r="E3" s="68"/>
      <x:c r="F3" s="68"/>
      <x:c r="G3" s="68"/>
      <x:c r="H3" s="68"/>
      <x:c r="I3" s="68"/>
      <x:c r="J3" s="68"/>
    </x:row>
    <x:row r="4" ht="28" customHeight="1">
      <x:c r="A4" s="69" t="str">
        <x:v>Planning decision</x:v>
      </x:c>
      <x:c r="B4" s="69" t="str">
        <x:v>Value</x:v>
      </x:c>
      <x:c r="C4" s="68"/>
      <x:c r="D4" s="68"/>
      <x:c r="E4" s="68"/>
      <x:c r="F4" s="68"/>
      <x:c r="G4" s="68"/>
      <x:c r="H4" s="68"/>
      <x:c r="I4" s="68"/>
      <x:c r="J4" s="68"/>
    </x:row>
    <x:row r="5">
      <x:c r="A5" s="70" t="str">
        <x:v>Capacity basis</x:v>
      </x:c>
      <x:c r="B5" s="71" t="str">
        <x:v>252 engineering hours hard cap</x:v>
      </x:c>
      <x:c r="C5" s="68"/>
      <x:c r="D5" s="68"/>
      <x:c r="E5" s="68"/>
      <x:c r="F5" s="68"/>
      <x:c r="G5" s="68"/>
      <x:c r="H5" s="68"/>
      <x:c r="I5" s="68"/>
      <x:c r="J5" s="68"/>
    </x:row>
    <x:row r="6">
      <x:c r="A6" s="72" t="str">
        <x:v>Team model</x:v>
      </x:c>
      <x:c r="B6" s="73" t="str">
        <x:v>2 full-stack developers × 18 h/week; Dev A domain/backend lead, Dev B UI/integration lead</x:v>
      </x:c>
      <x:c r="C6" s="68"/>
      <x:c r="D6" s="68"/>
      <x:c r="E6" s="68"/>
      <x:c r="F6" s="68"/>
      <x:c r="G6" s="68"/>
      <x:c r="H6" s="68"/>
      <x:c r="I6" s="68"/>
      <x:c r="J6" s="68"/>
    </x:row>
    <x:row r="7">
      <x:c r="A7" s="72" t="str">
        <x:v>Committed scope</x:v>
      </x:c>
      <x:c r="B7" s="73" t="str">
        <x:v>17 Must-Have features + foundation, integration, testing, defects, UAT prep, and handover</x:v>
      </x:c>
      <x:c r="C7" s="68"/>
      <x:c r="D7" s="68"/>
      <x:c r="E7" s="68"/>
      <x:c r="F7" s="68"/>
      <x:c r="G7" s="68"/>
      <x:c r="H7" s="68"/>
      <x:c r="I7" s="68"/>
      <x:c r="J7" s="68"/>
    </x:row>
    <x:row r="8">
      <x:c r="A8" s="72" t="str">
        <x:v>Committed hours</x:v>
      </x:c>
      <x:c r="B8" s="73" t="str">
        <x:v>240 h</x:v>
      </x:c>
      <x:c r="C8" s="68"/>
      <x:c r="D8" s="68"/>
      <x:c r="E8" s="68"/>
      <x:c r="F8" s="68"/>
      <x:c r="G8" s="68"/>
      <x:c r="H8" s="68"/>
      <x:c r="I8" s="68"/>
      <x:c r="J8" s="68"/>
    </x:row>
    <x:row r="9">
      <x:c r="A9" s="72" t="str">
        <x:v>Uncommitted reserve</x:v>
      </x:c>
      <x:c r="B9" s="73" t="str">
        <x:v>12 h in Sprint 1</x:v>
      </x:c>
      <x:c r="C9" s="68"/>
      <x:c r="D9" s="68"/>
      <x:c r="E9" s="68"/>
      <x:c r="F9" s="68"/>
      <x:c r="G9" s="68"/>
      <x:c r="H9" s="68"/>
      <x:c r="I9" s="68"/>
      <x:c r="J9" s="68"/>
    </x:row>
    <x:row r="10">
      <x:c r="A10" s="74" t="str">
        <x:v>Stretch pull rule</x:v>
      </x:c>
      <x:c r="B10" s="75" t="str">
        <x:v>After Sprint 0: completion ≥90%, no open Critical/High blocker, dependencies ready, and forecast ≤252 h</x:v>
      </x:c>
      <x:c r="C10" s="68"/>
      <x:c r="D10" s="68"/>
      <x:c r="E10" s="68"/>
      <x:c r="F10" s="68"/>
      <x:c r="G10" s="68"/>
      <x:c r="H10" s="68"/>
      <x:c r="I10" s="68"/>
      <x:c r="J10" s="68"/>
    </x:row>
    <x:row r="11">
      <x:c r="A11" s="68"/>
      <x:c r="B11" s="68"/>
      <x:c r="C11" s="68"/>
      <x:c r="D11" s="68"/>
      <x:c r="E11" s="68"/>
      <x:c r="F11" s="68"/>
      <x:c r="G11" s="68"/>
      <x:c r="H11" s="68"/>
      <x:c r="I11" s="68"/>
      <x:c r="J11" s="68"/>
    </x:row>
    <x:row r="12" ht="28" customHeight="1">
      <x:c r="A12" s="69" t="str">
        <x:v>Sprint</x:v>
      </x:c>
      <x:c r="B12" s="69" t="str">
        <x:v>Dates</x:v>
      </x:c>
      <x:c r="C12" s="69" t="str">
        <x:v>Goal</x:v>
      </x:c>
      <x:c r="D12" s="69" t="str">
        <x:v>Capacity</x:v>
      </x:c>
      <x:c r="E12" s="69" t="str">
        <x:v>Feature h</x:v>
      </x:c>
      <x:c r="F12" s="69" t="str">
        <x:v>Cross-cut h</x:v>
      </x:c>
      <x:c r="G12" s="69" t="str">
        <x:v>Committed h</x:v>
      </x:c>
      <x:c r="H12" s="69" t="str">
        <x:v>Reserve h</x:v>
      </x:c>
      <x:c r="I12" s="69" t="str">
        <x:v>Committed features</x:v>
      </x:c>
      <x:c r="J12" s="69" t="str">
        <x:v>Exit gate</x:v>
      </x:c>
    </x:row>
    <x:row r="13">
      <x:c r="A13" s="70" t="str">
        <x:v>Sprint 0</x:v>
      </x:c>
      <x:c r="B13" s="76" t="str">
        <x:v>31 Aug–6 Sep 2026</x:v>
      </x:c>
      <x:c r="C13" s="76" t="str">
        <x:v>Secure foundation &amp; access</x:v>
      </x:c>
      <x:c r="D13" s="77" t="n">
        <x:v>36</x:v>
      </x:c>
      <x:c r="E13" s="77" t="n">
        <x:v>28</x:v>
      </x:c>
      <x:c r="F13" s="77" t="n">
        <x:v>8</x:v>
      </x:c>
      <x:c r="G13" s="77" t="n">
        <x:v>36</x:v>
      </x:c>
      <x:c r="H13" s="133" t="n">
        <x:v>0</x:v>
      </x:c>
      <x:c r="I13" s="76" t="str">
        <x:v>F02, F03, F08 shell</x:v>
      </x:c>
      <x:c r="J13" s="71" t="str">
        <x:v>Repository/CI ready; login/session and server RBAC pass; Project Hub shell demonstrable</x:v>
      </x:c>
    </x:row>
    <x:row r="14">
      <x:c r="A14" s="72" t="str">
        <x:v>Sprint 1</x:v>
      </x:c>
      <x:c r="B14" s="78" t="str">
        <x:v>7–20 Sep 2026</x:v>
      </x:c>
      <x:c r="C14" s="78" t="str">
        <x:v>Core project data &amp; traceability</x:v>
      </x:c>
      <x:c r="D14" s="79" t="n">
        <x:v>72</x:v>
      </x:c>
      <x:c r="E14" s="79" t="n">
        <x:v>41</x:v>
      </x:c>
      <x:c r="F14" s="79" t="n">
        <x:v>19</x:v>
      </x:c>
      <x:c r="G14" s="79" t="n">
        <x:v>60</x:v>
      </x:c>
      <x:c r="H14" s="134" t="n">
        <x:v>12</x:v>
      </x:c>
      <x:c r="I14" s="78" t="str">
        <x:v>F04, F05, F06, F07, F09, F24</x:v>
      </x:c>
      <x:c r="J14" s="73" t="str">
        <x:v>Project vertical slice passes with unique ID, assignment SLA, stage history, and immutable audit</x:v>
      </x:c>
    </x:row>
    <x:row r="15">
      <x:c r="A15" s="72" t="str">
        <x:v>Sprint 2</x:v>
      </x:c>
      <x:c r="B15" s="78" t="str">
        <x:v>21 Sep–4 Oct 2026</x:v>
      </x:c>
      <x:c r="C15" s="78" t="str">
        <x:v>Finance approval vertical slice</x:v>
      </x:c>
      <x:c r="D15" s="79" t="n">
        <x:v>72</x:v>
      </x:c>
      <x:c r="E15" s="79" t="n">
        <x:v>50</x:v>
      </x:c>
      <x:c r="F15" s="79" t="n">
        <x:v>22</x:v>
      </x:c>
      <x:c r="G15" s="79" t="n">
        <x:v>72</x:v>
      </x:c>
      <x:c r="H15" s="134" t="n">
        <x:v>0</x:v>
      </x:c>
      <x:c r="I15" s="78" t="str">
        <x:v>F13, F15, F16, F17, F20</x:v>
      </x:c>
      <x:c r="J15" s="73" t="str">
        <x:v>Termin → invoice → approval → proof → receipt → paid passes with rejection/revision path</x:v>
      </x:c>
    </x:row>
    <x:row r="16">
      <x:c r="A16" s="74" t="str">
        <x:v>Sprint 3</x:v>
      </x:c>
      <x:c r="B16" s="80" t="str">
        <x:v>5–14 Oct 2026 (+ UAT reserve 15–17 Oct)</x:v>
      </x:c>
      <x:c r="C16" s="80" t="str">
        <x:v>Cross-division integration &amp; UAT readiness</x:v>
      </x:c>
      <x:c r="D16" s="81" t="n">
        <x:v>72</x:v>
      </x:c>
      <x:c r="E16" s="81" t="n">
        <x:v>24</x:v>
      </x:c>
      <x:c r="F16" s="81" t="n">
        <x:v>48</x:v>
      </x:c>
      <x:c r="G16" s="81" t="n">
        <x:v>72</x:v>
      </x:c>
      <x:c r="H16" s="135" t="n">
        <x:v>0</x:v>
      </x:c>
      <x:c r="I16" s="80" t="str">
        <x:v>F14, F25, F31, F08 live integration</x:v>
      </x:c>
      <x:c r="J16" s="75" t="str">
        <x:v>All Must-Have mapped tests ready; no Critical; no blocking High; handover package complete</x:v>
      </x:c>
    </x:row>
    <x:row r="17">
      <x:c r="A17" s="68"/>
      <x:c r="B17" s="68"/>
      <x:c r="C17" s="68"/>
      <x:c r="D17" s="68"/>
      <x:c r="E17" s="68"/>
      <x:c r="F17" s="68"/>
      <x:c r="G17" s="68"/>
      <x:c r="H17" s="68"/>
      <x:c r="I17" s="68"/>
      <x:c r="J17" s="68"/>
    </x:row>
    <x:row r="18">
      <x:c r="A18" s="68"/>
      <x:c r="B18" s="68"/>
      <x:c r="C18" s="68"/>
      <x:c r="D18" s="68"/>
      <x:c r="E18" s="68"/>
      <x:c r="F18" s="68"/>
      <x:c r="G18" s="68"/>
      <x:c r="H18" s="68"/>
      <x:c r="I18" s="68"/>
      <x:c r="J18" s="68"/>
    </x:row>
    <x:row r="19">
      <x:c r="A19" s="82" t="str">
        <x:v>PM Recommendation</x:v>
      </x:c>
      <x:c r="B19" s="82" t="str">
        <x:v>PM Recommendation</x:v>
      </x:c>
      <x:c r="C19" s="82" t="str">
        <x:v>PM Recommendation</x:v>
      </x:c>
      <x:c r="D19" s="82" t="str">
        <x:v>PM Recommendation</x:v>
      </x:c>
      <x:c r="E19" s="82" t="str">
        <x:v>PM Recommendation</x:v>
      </x:c>
      <x:c r="F19" s="82" t="str">
        <x:v>PM Recommendation</x:v>
      </x:c>
      <x:c r="G19" s="82" t="str">
        <x:v>PM Recommendation</x:v>
      </x:c>
      <x:c r="H19" s="82" t="str">
        <x:v>PM Recommendation</x:v>
      </x:c>
      <x:c r="I19" s="82" t="str">
        <x:v>PM Recommendation</x:v>
      </x:c>
      <x:c r="J19" s="82" t="str">
        <x:v>PM Recommendation</x:v>
      </x:c>
    </x:row>
    <x:row r="20" ht="30" customHeight="1">
      <x:c r="A20" s="83" t="str">
        <x:v>1. Do not copy the Charter's old Must/Should labels into GitHub. PRD 30 Aug is the source of truth.</x:v>
      </x:c>
      <x:c r="B20" s="84"/>
      <x:c r="C20" s="84"/>
      <x:c r="D20" s="84"/>
      <x:c r="E20" s="84"/>
      <x:c r="F20" s="84"/>
      <x:c r="G20" s="84"/>
      <x:c r="H20" s="84"/>
      <x:c r="I20" s="84"/>
      <x:c r="J20" s="85"/>
    </x:row>
    <x:row r="21" ht="30" customHeight="1">
      <x:c r="A21" s="86" t="str">
        <x:v>2. Create dependency/decision issues before feature issues, mirroring NoLimit's DEP pattern.</x:v>
      </x:c>
      <x:c r="B21" s="87"/>
      <x:c r="C21" s="87"/>
      <x:c r="D21" s="87"/>
      <x:c r="E21" s="87"/>
      <x:c r="F21" s="87"/>
      <x:c r="G21" s="87"/>
      <x:c r="H21" s="87"/>
      <x:c r="I21" s="87"/>
      <x:c r="J21" s="88"/>
    </x:row>
    <x:row r="22" ht="30" customHeight="1">
      <x:c r="A22" s="86" t="str">
        <x:v>3. Keep F11 + F01 as the first stretch pair (12 h total); pull only after Sprint 0 review.</x:v>
      </x:c>
      <x:c r="B22" s="87"/>
      <x:c r="C22" s="87"/>
      <x:c r="D22" s="87"/>
      <x:c r="E22" s="87"/>
      <x:c r="F22" s="87"/>
      <x:c r="G22" s="87"/>
      <x:c r="H22" s="87"/>
      <x:c r="I22" s="87"/>
      <x:c r="J22" s="88"/>
    </x:row>
    <x:row r="23" ht="30" customHeight="1">
      <x:c r="A23" s="89" t="str">
        <x:v>4. Treat UAT preparation, defect fixing, and handover as capacity-consuming backlog, not post-project admin.</x:v>
      </x:c>
      <x:c r="B23" s="90"/>
      <x:c r="C23" s="90"/>
      <x:c r="D23" s="90"/>
      <x:c r="E23" s="90"/>
      <x:c r="F23" s="90"/>
      <x:c r="G23" s="90"/>
      <x:c r="H23" s="90"/>
      <x:c r="I23" s="90"/>
      <x:c r="J23" s="91"/>
    </x:row>
  </x:sheetData>
  <x:mergeCells>
    <x:mergeCell ref="A1:J1"/>
    <x:mergeCell ref="A2:J2"/>
    <x:mergeCell ref="A19:J19"/>
    <x:mergeCell ref="A20:J20"/>
    <x:mergeCell ref="A21:J21"/>
    <x:mergeCell ref="A22:J22"/>
    <x:mergeCell ref="A23:J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34" hidden="0" customWidth="1"/>
    <x:col min="4" max="4" width="16" hidden="0" customWidth="1"/>
    <x:col min="5" max="5" width="16" hidden="0" customWidth="1"/>
    <x:col min="6" max="6" width="16" hidden="0" customWidth="1"/>
    <x:col min="7" max="7" width="17" hidden="0" customWidth="1"/>
    <x:col min="8" max="8" width="14" hidden="0" customWidth="1"/>
    <x:col min="9" max="9" width="34" hidden="0" customWidth="1"/>
    <x:col min="10" max="10" width="55" hidden="0" customWidth="1"/>
  </x:cols>
  <x:sheetData>
    <x:row r="1" ht="30" customHeight="1">
      <x:c r="A1" s="66" t="str">
        <x:v>Sprint Summary</x:v>
      </x:c>
      <x:c r="B1" s="66" t="str">
        <x:v>Sprint Summary</x:v>
      </x:c>
      <x:c r="C1" s="66" t="str">
        <x:v>Sprint Summary</x:v>
      </x:c>
      <x:c r="D1" s="66" t="str">
        <x:v>Sprint Summary</x:v>
      </x:c>
      <x:c r="E1" s="66" t="str">
        <x:v>Sprint Summary</x:v>
      </x:c>
      <x:c r="F1" s="66" t="str">
        <x:v>Sprint Summary</x:v>
      </x:c>
      <x:c r="G1" s="66" t="str">
        <x:v>Sprint Summary</x:v>
      </x:c>
      <x:c r="H1" s="66" t="str">
        <x:v>Sprint Summary</x:v>
      </x:c>
      <x:c r="I1" s="66" t="str">
        <x:v>Sprint Summary</x:v>
      </x:c>
      <x:c r="J1" s="66" t="str">
        <x:v>Sprint Summary</x:v>
      </x:c>
    </x:row>
    <x:row r="2" ht="26" customHeight="1">
      <x:c r="A2" s="67" t="str">
        <x:v>Capacity, goals, committed scope, and acceptance gates</x:v>
      </x:c>
      <x:c r="B2" s="67" t="str">
        <x:v>Capacity, goals, committed scope, and acceptance gates</x:v>
      </x:c>
      <x:c r="C2" s="67" t="str">
        <x:v>Capacity, goals, committed scope, and acceptance gates</x:v>
      </x:c>
      <x:c r="D2" s="67" t="str">
        <x:v>Capacity, goals, committed scope, and acceptance gates</x:v>
      </x:c>
      <x:c r="E2" s="67" t="str">
        <x:v>Capacity, goals, committed scope, and acceptance gates</x:v>
      </x:c>
      <x:c r="F2" s="67" t="str">
        <x:v>Capacity, goals, committed scope, and acceptance gates</x:v>
      </x:c>
      <x:c r="G2" s="67" t="str">
        <x:v>Capacity, goals, committed scope, and acceptance gates</x:v>
      </x:c>
      <x:c r="H2" s="67" t="str">
        <x:v>Capacity, goals, committed scope, and acceptance gates</x:v>
      </x:c>
      <x:c r="I2" s="67" t="str">
        <x:v>Capacity, goals, committed scope, and acceptance gates</x:v>
      </x:c>
      <x:c r="J2" s="67" t="str">
        <x:v>Capacity, goals, committed scope, and acceptance gates</x:v>
      </x:c>
    </x:row>
    <x:row r="3">
      <x:c r="A3" s="68"/>
      <x:c r="B3" s="68"/>
      <x:c r="C3" s="68"/>
      <x:c r="D3" s="68"/>
      <x:c r="E3" s="68"/>
      <x:c r="F3" s="68"/>
      <x:c r="G3" s="68"/>
      <x:c r="H3" s="68"/>
      <x:c r="I3" s="68"/>
      <x:c r="J3" s="68"/>
    </x:row>
    <x:row r="4" ht="28" customHeight="1">
      <x:c r="A4" s="69" t="str">
        <x:v>Sprint</x:v>
      </x:c>
      <x:c r="B4" s="69" t="str">
        <x:v>Dates</x:v>
      </x:c>
      <x:c r="C4" s="69" t="str">
        <x:v>Goal</x:v>
      </x:c>
      <x:c r="D4" s="69" t="str">
        <x:v>Capacity h</x:v>
      </x:c>
      <x:c r="E4" s="69" t="str">
        <x:v>Feature h</x:v>
      </x:c>
      <x:c r="F4" s="69" t="str">
        <x:v>Cross-cut h</x:v>
      </x:c>
      <x:c r="G4" s="69" t="str">
        <x:v>Committed h</x:v>
      </x:c>
      <x:c r="H4" s="69" t="str">
        <x:v>Reserve h</x:v>
      </x:c>
      <x:c r="I4" s="69" t="str">
        <x:v>Committed features</x:v>
      </x:c>
      <x:c r="J4" s="69" t="str">
        <x:v>Exit gate</x:v>
      </x:c>
    </x:row>
    <x:row r="5">
      <x:c r="A5" s="70" t="str">
        <x:v>Sprint 0</x:v>
      </x:c>
      <x:c r="B5" s="76" t="str">
        <x:v>31 Aug–6 Sep 2026</x:v>
      </x:c>
      <x:c r="C5" s="76" t="str">
        <x:v>Secure foundation &amp; access</x:v>
      </x:c>
      <x:c r="D5" s="77" t="n">
        <x:v>36</x:v>
      </x:c>
      <x:c r="E5" s="77" t="n">
        <x:v>28</x:v>
      </x:c>
      <x:c r="F5" s="77" t="n">
        <x:v>8</x:v>
      </x:c>
      <x:c r="G5" s="77" t="n">
        <x:v>36</x:v>
      </x:c>
      <x:c r="H5" s="133" t="n">
        <x:v>0</x:v>
      </x:c>
      <x:c r="I5" s="76" t="str">
        <x:v>F02, F03, F08 shell</x:v>
      </x:c>
      <x:c r="J5" s="71" t="str">
        <x:v>Repository/CI ready; login/session and server RBAC pass; Project Hub shell demonstrable</x:v>
      </x:c>
    </x:row>
    <x:row r="6">
      <x:c r="A6" s="72" t="str">
        <x:v>Sprint 1</x:v>
      </x:c>
      <x:c r="B6" s="78" t="str">
        <x:v>7–20 Sep 2026</x:v>
      </x:c>
      <x:c r="C6" s="78" t="str">
        <x:v>Core project data &amp; traceability</x:v>
      </x:c>
      <x:c r="D6" s="79" t="n">
        <x:v>72</x:v>
      </x:c>
      <x:c r="E6" s="79" t="n">
        <x:v>41</x:v>
      </x:c>
      <x:c r="F6" s="79" t="n">
        <x:v>19</x:v>
      </x:c>
      <x:c r="G6" s="79" t="n">
        <x:v>60</x:v>
      </x:c>
      <x:c r="H6" s="134" t="n">
        <x:v>12</x:v>
      </x:c>
      <x:c r="I6" s="78" t="str">
        <x:v>F04, F05, F06, F07, F09, F24</x:v>
      </x:c>
      <x:c r="J6" s="73" t="str">
        <x:v>Project vertical slice passes with unique ID, assignment SLA, stage history, and immutable audit</x:v>
      </x:c>
    </x:row>
    <x:row r="7">
      <x:c r="A7" s="72" t="str">
        <x:v>Sprint 2</x:v>
      </x:c>
      <x:c r="B7" s="78" t="str">
        <x:v>21 Sep–4 Oct 2026</x:v>
      </x:c>
      <x:c r="C7" s="78" t="str">
        <x:v>Finance approval vertical slice</x:v>
      </x:c>
      <x:c r="D7" s="79" t="n">
        <x:v>72</x:v>
      </x:c>
      <x:c r="E7" s="79" t="n">
        <x:v>50</x:v>
      </x:c>
      <x:c r="F7" s="79" t="n">
        <x:v>22</x:v>
      </x:c>
      <x:c r="G7" s="79" t="n">
        <x:v>72</x:v>
      </x:c>
      <x:c r="H7" s="134" t="n">
        <x:v>0</x:v>
      </x:c>
      <x:c r="I7" s="78" t="str">
        <x:v>F13, F15, F16, F17, F20</x:v>
      </x:c>
      <x:c r="J7" s="73" t="str">
        <x:v>Termin → invoice → approval → proof → receipt → paid passes with rejection/revision path</x:v>
      </x:c>
    </x:row>
    <x:row r="8">
      <x:c r="A8" s="74" t="str">
        <x:v>Sprint 3</x:v>
      </x:c>
      <x:c r="B8" s="80" t="str">
        <x:v>5–14 Oct 2026 (+ UAT reserve 15–17 Oct)</x:v>
      </x:c>
      <x:c r="C8" s="80" t="str">
        <x:v>Cross-division integration &amp; UAT readiness</x:v>
      </x:c>
      <x:c r="D8" s="81" t="n">
        <x:v>72</x:v>
      </x:c>
      <x:c r="E8" s="81" t="n">
        <x:v>24</x:v>
      </x:c>
      <x:c r="F8" s="81" t="n">
        <x:v>48</x:v>
      </x:c>
      <x:c r="G8" s="81" t="n">
        <x:v>72</x:v>
      </x:c>
      <x:c r="H8" s="135" t="n">
        <x:v>0</x:v>
      </x:c>
      <x:c r="I8" s="80" t="str">
        <x:v>F14, F25, F31, F08 live integration</x:v>
      </x:c>
      <x:c r="J8" s="75" t="str">
        <x:v>All Must-Have mapped tests ready; no Critical; no blocking High; handover package complete</x:v>
      </x:c>
    </x:row>
    <x:row r="9">
      <x:c r="A9" s="113" t="str">
        <x:v>Total</x:v>
      </x:c>
      <x:c r="B9" s="113" t="str">
        <x:v>31 Aug–17 Oct 2026</x:v>
      </x:c>
      <x:c r="C9" s="113" t="str">
        <x:v>MVP delivery</x:v>
      </x:c>
      <x:c r="D9" s="114" t="n">
        <x:v>252</x:v>
      </x:c>
      <x:c r="E9" s="114" t="n">
        <x:v>143</x:v>
      </x:c>
      <x:c r="F9" s="114" t="n">
        <x:v>97</x:v>
      </x:c>
      <x:c r="G9" s="114" t="n">
        <x:v>240</x:v>
      </x:c>
      <x:c r="H9" s="114" t="n">
        <x:v>12</x:v>
      </x:c>
      <x:c r="I9" s="113" t="str">
        <x:v>17 Must-Have</x:v>
      </x:c>
      <x:c r="J9" s="113" t="str">
        <x:v>UAT sign-off + BAST</x:v>
      </x:c>
    </x:row>
    <x:row r="10">
      <x:c r="A10" s="68"/>
      <x:c r="B10" s="68"/>
      <x:c r="C10" s="68"/>
      <x:c r="D10" s="68"/>
      <x:c r="E10" s="68"/>
      <x:c r="F10" s="68"/>
      <x:c r="G10" s="68"/>
      <x:c r="H10" s="68"/>
      <x:c r="I10" s="68"/>
      <x:c r="J10" s="68"/>
    </x:row>
    <x:row r="11">
      <x:c r="A11" s="68"/>
      <x:c r="B11" s="68"/>
      <x:c r="C11" s="68"/>
      <x:c r="D11" s="68"/>
      <x:c r="E11" s="68"/>
      <x:c r="F11" s="68"/>
      <x:c r="G11" s="68"/>
      <x:c r="H11" s="68"/>
      <x:c r="I11" s="68"/>
      <x:c r="J11" s="68"/>
    </x:row>
    <x:row r="12" ht="28" customHeight="1">
      <x:c r="A12" s="69" t="str">
        <x:v>Ceremony</x:v>
      </x:c>
      <x:c r="B12" s="69" t="str">
        <x:v>Timing</x:v>
      </x:c>
      <x:c r="C12" s="69" t="str">
        <x:v>Purpose</x:v>
      </x:c>
      <x:c r="D12" s="69" t="str">
        <x:v>Inputs</x:v>
      </x:c>
      <x:c r="E12" s="69" t="str">
        <x:v>Outputs</x:v>
      </x:c>
      <x:c r="F12" s="69" t="str">
        <x:v>Owner</x:v>
      </x:c>
      <x:c r="G12" s="68"/>
      <x:c r="H12" s="68"/>
      <x:c r="I12" s="68"/>
      <x:c r="J12" s="68"/>
    </x:row>
    <x:row r="13">
      <x:c r="A13" s="70" t="str">
        <x:v>Sprint Planning</x:v>
      </x:c>
      <x:c r="B13" s="76" t="str">
        <x:v>First day, 60 min</x:v>
      </x:c>
      <x:c r="C13" s="76" t="str">
        <x:v>Confirm goal, capacity, dependencies, and committed issues</x:v>
      </x:c>
      <x:c r="D13" s="76" t="str">
        <x:v>Velocity, dependencies, ordered backlog</x:v>
      </x:c>
      <x:c r="E13" s="76" t="str">
        <x:v>Sprint goal + committed issue set</x:v>
      </x:c>
      <x:c r="F13" s="71" t="str">
        <x:v>PM + Developers</x:v>
      </x:c>
      <x:c r="G13" s="68"/>
      <x:c r="H13" s="68"/>
      <x:c r="I13" s="68"/>
      <x:c r="J13" s="68"/>
    </x:row>
    <x:row r="14">
      <x:c r="A14" s="72" t="str">
        <x:v>Daily Stand-up</x:v>
      </x:c>
      <x:c r="B14" s="78" t="str">
        <x:v>Daily, 15 min</x:v>
      </x:c>
      <x:c r="C14" s="78" t="str">
        <x:v>Surface blockers and protect critical path</x:v>
      </x:c>
      <x:c r="D14" s="78" t="str">
        <x:v>Issue board</x:v>
      </x:c>
      <x:c r="E14" s="78" t="str">
        <x:v>Updated blockers/owners</x:v>
      </x:c>
      <x:c r="F14" s="73" t="str">
        <x:v>Developers</x:v>
      </x:c>
      <x:c r="G14" s="68"/>
      <x:c r="H14" s="68"/>
      <x:c r="I14" s="68"/>
      <x:c r="J14" s="68"/>
    </x:row>
    <x:row r="15">
      <x:c r="A15" s="72" t="str">
        <x:v>Backlog Refinement</x:v>
      </x:c>
      <x:c r="B15" s="78" t="str">
        <x:v>Mid-sprint, 45 min</x:v>
      </x:c>
      <x:c r="C15" s="78" t="str">
        <x:v>Prepare next sprint and split oversized tasks</x:v>
      </x:c>
      <x:c r="D15" s="78" t="str">
        <x:v>PRD, UAT, estimates</x:v>
      </x:c>
      <x:c r="E15" s="78" t="str">
        <x:v>Ready issues meeting DoR</x:v>
      </x:c>
      <x:c r="F15" s="73" t="str">
        <x:v>PM + Developers</x:v>
      </x:c>
      <x:c r="G15" s="68"/>
      <x:c r="H15" s="68"/>
      <x:c r="I15" s="68"/>
      <x:c r="J15" s="68"/>
    </x:row>
    <x:row r="16">
      <x:c r="A16" s="72" t="str">
        <x:v>Sprint Review</x:v>
      </x:c>
      <x:c r="B16" s="78" t="str">
        <x:v>Last day, 45 min</x:v>
      </x:c>
      <x:c r="C16" s="78" t="str">
        <x:v>Demo only Done increments against AC</x:v>
      </x:c>
      <x:c r="D16" s="78" t="str">
        <x:v>Demo build + evidence</x:v>
      </x:c>
      <x:c r="E16" s="78" t="str">
        <x:v>Acceptance notes</x:v>
      </x:c>
      <x:c r="F16" s="73" t="str">
        <x:v>PM + Stakeholders</x:v>
      </x:c>
      <x:c r="G16" s="68"/>
      <x:c r="H16" s="68"/>
      <x:c r="I16" s="68"/>
      <x:c r="J16" s="68"/>
    </x:row>
    <x:row r="17">
      <x:c r="A17" s="72" t="str">
        <x:v>Retrospective</x:v>
      </x:c>
      <x:c r="B17" s="78" t="str">
        <x:v>Last day, 30 min</x:v>
      </x:c>
      <x:c r="C17" s="78" t="str">
        <x:v>Improve delivery system</x:v>
      </x:c>
      <x:c r="D17" s="78" t="str">
        <x:v>Velocity and defects</x:v>
      </x:c>
      <x:c r="E17" s="78" t="str">
        <x:v>1–3 improvement actions</x:v>
      </x:c>
      <x:c r="F17" s="73" t="str">
        <x:v>Team</x:v>
      </x:c>
      <x:c r="G17" s="68"/>
      <x:c r="H17" s="68"/>
      <x:c r="I17" s="68"/>
      <x:c r="J17" s="68"/>
    </x:row>
    <x:row r="18">
      <x:c r="A18" s="74" t="str">
        <x:v>Reforecast Gate</x:v>
      </x:c>
      <x:c r="B18" s="80" t="str">
        <x:v>End Sprint 0 and 1</x:v>
      </x:c>
      <x:c r="C18" s="80" t="str">
        <x:v>Decide stretch pull or scope reduction</x:v>
      </x:c>
      <x:c r="D18" s="80" t="str">
        <x:v>Actual hours, completion %, defect load</x:v>
      </x:c>
      <x:c r="E18" s="80" t="str">
        <x:v>Updated forecast ≤252 h</x:v>
      </x:c>
      <x:c r="F18" s="75" t="str">
        <x:v>PM + C-Level for change control</x:v>
      </x:c>
      <x:c r="G18" s="68"/>
      <x:c r="H18" s="68"/>
      <x:c r="I18" s="68"/>
      <x:c r="J18" s="68"/>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4" hidden="0" customWidth="1"/>
    <x:col min="4" max="4" width="12" hidden="0" customWidth="1"/>
    <x:col min="5" max="5" width="27" hidden="0" customWidth="1"/>
    <x:col min="6" max="6" width="18" hidden="0" customWidth="1"/>
    <x:col min="7" max="7" width="62" hidden="0" customWidth="1"/>
    <x:col min="8" max="8" width="15" hidden="0" customWidth="1"/>
    <x:col min="9" max="9" width="15" hidden="0" customWidth="1"/>
    <x:col min="10" max="10" width="12" hidden="0" customWidth="1"/>
    <x:col min="11" max="11" width="13" hidden="0" customWidth="1"/>
    <x:col min="12" max="12" width="30" hidden="0" customWidth="1"/>
    <x:col min="13" max="13" width="62" hidden="0" customWidth="1"/>
    <x:col min="14" max="14" width="32" hidden="0" customWidth="1"/>
    <x:col min="15" max="15" width="48" hidden="0" customWidth="1"/>
  </x:cols>
  <x:sheetData>
    <x:row r="1" ht="30" customHeight="1">
      <x:c r="A1" s="66" t="str">
        <x:v>Sprint Backlog</x:v>
      </x:c>
      <x:c r="B1" s="66" t="str">
        <x:v>Sprint Backlog</x:v>
      </x:c>
      <x:c r="C1" s="66" t="str">
        <x:v>Sprint Backlog</x:v>
      </x:c>
      <x:c r="D1" s="66" t="str">
        <x:v>Sprint Backlog</x:v>
      </x:c>
      <x:c r="E1" s="66" t="str">
        <x:v>Sprint Backlog</x:v>
      </x:c>
      <x:c r="F1" s="66" t="str">
        <x:v>Sprint Backlog</x:v>
      </x:c>
      <x:c r="G1" s="66" t="str">
        <x:v>Sprint Backlog</x:v>
      </x:c>
      <x:c r="H1" s="66" t="str">
        <x:v>Sprint Backlog</x:v>
      </x:c>
      <x:c r="I1" s="66" t="str">
        <x:v>Sprint Backlog</x:v>
      </x:c>
      <x:c r="J1" s="66" t="str">
        <x:v>Sprint Backlog</x:v>
      </x:c>
      <x:c r="K1" s="66" t="str">
        <x:v>Sprint Backlog</x:v>
      </x:c>
      <x:c r="L1" s="66" t="str">
        <x:v>Sprint Backlog</x:v>
      </x:c>
      <x:c r="M1" s="66" t="str">
        <x:v>Sprint Backlog</x:v>
      </x:c>
      <x:c r="N1" s="66" t="str">
        <x:v>Sprint Backlog</x:v>
      </x:c>
      <x:c r="O1" s="66" t="str">
        <x:v>Sprint Backlog</x:v>
      </x:c>
    </x:row>
    <x:row r="2" ht="26" customHeight="1">
      <x:c r="A2" s="67" t="str">
        <x:v>Actionable issue-level plan; issue fields mirror the NoLimit parent/task pattern</x:v>
      </x:c>
      <x:c r="B2" s="67" t="str">
        <x:v>Actionable issue-level plan; issue fields mirror the NoLimit parent/task pattern</x:v>
      </x:c>
      <x:c r="C2" s="67" t="str">
        <x:v>Actionable issue-level plan; issue fields mirror the NoLimit parent/task pattern</x:v>
      </x:c>
      <x:c r="D2" s="67" t="str">
        <x:v>Actionable issue-level plan; issue fields mirror the NoLimit parent/task pattern</x:v>
      </x:c>
      <x:c r="E2" s="67" t="str">
        <x:v>Actionable issue-level plan; issue fields mirror the NoLimit parent/task pattern</x:v>
      </x:c>
      <x:c r="F2" s="67" t="str">
        <x:v>Actionable issue-level plan; issue fields mirror the NoLimit parent/task pattern</x:v>
      </x:c>
      <x:c r="G2" s="67" t="str">
        <x:v>Actionable issue-level plan; issue fields mirror the NoLimit parent/task pattern</x:v>
      </x:c>
      <x:c r="H2" s="67" t="str">
        <x:v>Actionable issue-level plan; issue fields mirror the NoLimit parent/task pattern</x:v>
      </x:c>
      <x:c r="I2" s="67" t="str">
        <x:v>Actionable issue-level plan; issue fields mirror the NoLimit parent/task pattern</x:v>
      </x:c>
      <x:c r="J2" s="67" t="str">
        <x:v>Actionable issue-level plan; issue fields mirror the NoLimit parent/task pattern</x:v>
      </x:c>
      <x:c r="K2" s="67" t="str">
        <x:v>Actionable issue-level plan; issue fields mirror the NoLimit parent/task pattern</x:v>
      </x:c>
      <x:c r="L2" s="67" t="str">
        <x:v>Actionable issue-level plan; issue fields mirror the NoLimit parent/task pattern</x:v>
      </x:c>
      <x:c r="M2" s="67" t="str">
        <x:v>Actionable issue-level plan; issue fields mirror the NoLimit parent/task pattern</x:v>
      </x:c>
      <x:c r="N2" s="67" t="str">
        <x:v>Actionable issue-level plan; issue fields mirror the NoLimit parent/task pattern</x:v>
      </x:c>
      <x:c r="O2" s="67" t="str">
        <x:v>Actionable issue-level plan; issue fields mirror the NoLimit parent/task pattern</x:v>
      </x:c>
    </x:row>
    <x:row r="3">
      <x:c r="A3" s="68"/>
      <x:c r="B3" s="68"/>
      <x:c r="C3" s="68"/>
      <x:c r="D3" s="68"/>
      <x:c r="E3" s="68"/>
      <x:c r="F3" s="68"/>
      <x:c r="G3" s="68"/>
      <x:c r="H3" s="68"/>
      <x:c r="I3" s="68"/>
      <x:c r="J3" s="68"/>
      <x:c r="K3" s="68"/>
      <x:c r="L3" s="68"/>
      <x:c r="M3" s="68"/>
      <x:c r="N3" s="68"/>
      <x:c r="O3" s="68"/>
    </x:row>
    <x:row r="4" ht="28" customHeight="1">
      <x:c r="A4" s="69" t="str">
        <x:v>Backlog ID</x:v>
      </x:c>
      <x:c r="B4" s="69" t="str">
        <x:v>Type</x:v>
      </x:c>
      <x:c r="C4" s="69" t="str">
        <x:v>Sprint</x:v>
      </x:c>
      <x:c r="D4" s="69" t="str">
        <x:v>Feature ID</x:v>
      </x:c>
      <x:c r="E4" s="69" t="str">
        <x:v>Feature</x:v>
      </x:c>
      <x:c r="F4" s="69" t="str">
        <x:v>Workstream</x:v>
      </x:c>
      <x:c r="G4" s="69" t="str">
        <x:v>Title / Task</x:v>
      </x:c>
      <x:c r="H4" s="69" t="str">
        <x:v>Priority</x:v>
      </x:c>
      <x:c r="I4" s="69" t="str">
        <x:v>Commitment</x:v>
      </x:c>
      <x:c r="J4" s="69" t="str">
        <x:v>Estimate h</x:v>
      </x:c>
      <x:c r="K4" s="69" t="str">
        <x:v>Owner</x:v>
      </x:c>
      <x:c r="L4" s="69" t="str">
        <x:v>Blocked by</x:v>
      </x:c>
      <x:c r="M4" s="69" t="str">
        <x:v>Acceptance / DoD</x:v>
      </x:c>
      <x:c r="N4" s="69" t="str">
        <x:v>UAT reference</x:v>
      </x:c>
      <x:c r="O4" s="69" t="str">
        <x:v>Source</x:v>
      </x:c>
    </x:row>
    <x:row r="5" ht="48" customHeight="1">
      <x:c r="A5" s="70" t="str">
        <x:v>INF-01</x:v>
      </x:c>
      <x:c r="B5" s="76" t="str">
        <x:v>Task</x:v>
      </x:c>
      <x:c r="C5" s="76" t="str">
        <x:v>Sprint 0</x:v>
      </x:c>
      <x:c r="D5" s="76" t="str">
        <x:v>INF</x:v>
      </x:c>
      <x:c r="E5" s="76" t="str">
        <x:v>Engineering Foundation</x:v>
      </x:c>
      <x:c r="F5" s="76" t="str">
        <x:v>Full-stack</x:v>
      </x:c>
      <x:c r="G5" s="76" t="str">
        <x:v>Initialize repository structure, environment configuration, and local-development README</x:v>
      </x:c>
      <x:c r="H5" s="76" t="str">
        <x:v>P0 / Must</x:v>
      </x:c>
      <x:c r="I5" s="76" t="str">
        <x:v>Committed</x:v>
      </x:c>
      <x:c r="J5" s="77" t="n">
        <x:v>4</x:v>
      </x:c>
      <x:c r="K5" s="76" t="str">
        <x:v>Dev A</x:v>
      </x:c>
      <x:c r="L5" s="76" t="str">
        <x:v>DEP-03, DEP-08</x:v>
      </x:c>
      <x:c r="M5" s="76" t="str">
        <x:v>Repo berjalan lokal; konfigurasi per environment tersedia; secret tidak disimpan di repository; developer baru dapat mengikuti setup.</x:v>
      </x:c>
      <x:c r="N5" s="76" t="str">
        <x:v>UAT-NFR maintenance</x:v>
      </x:c>
      <x:c r="O5" s="71" t="str">
        <x:v>PRD §5 DoD/NFR; benchmark NoLimit #16</x:v>
      </x:c>
    </x:row>
    <x:row r="6" ht="48" customHeight="1">
      <x:c r="A6" s="72" t="str">
        <x:v>INF-02</x:v>
      </x:c>
      <x:c r="B6" s="78" t="str">
        <x:v>Task</x:v>
      </x:c>
      <x:c r="C6" s="78" t="str">
        <x:v>Sprint 0</x:v>
      </x:c>
      <x:c r="D6" s="78" t="str">
        <x:v>INF</x:v>
      </x:c>
      <x:c r="E6" s="78" t="str">
        <x:v>Engineering Foundation</x:v>
      </x:c>
      <x:c r="F6" s="78" t="str">
        <x:v>Backend</x:v>
      </x:c>
      <x:c r="G6" s="78" t="str">
        <x:v>Create initial database schema, migration baseline, and seed strategy</x:v>
      </x:c>
      <x:c r="H6" s="78" t="str">
        <x:v>P0 / Must</x:v>
      </x:c>
      <x:c r="I6" s="78" t="str">
        <x:v>Committed</x:v>
      </x:c>
      <x:c r="J6" s="79" t="n">
        <x:v>2</x:v>
      </x:c>
      <x:c r="K6" s="78" t="str">
        <x:v>Dev B</x:v>
      </x:c>
      <x:c r="L6" s="78" t="str">
        <x:v>DEP-08</x:v>
      </x:c>
      <x:c r="M6" s="78" t="str">
        <x:v>Migration from empty database succeeds; rollback/forward path documented; seed data contains no production-sensitive data.</x:v>
      </x:c>
      <x:c r="N6" s="78" t="str">
        <x:v>Supports all data UAT</x:v>
      </x:c>
      <x:c r="O6" s="73" t="str">
        <x:v>PRD §3.2, §5; benchmark NoLimit #17</x:v>
      </x:c>
    </x:row>
    <x:row r="7" ht="48" customHeight="1">
      <x:c r="A7" s="72" t="str">
        <x:v>INF-03</x:v>
      </x:c>
      <x:c r="B7" s="78" t="str">
        <x:v>Task</x:v>
      </x:c>
      <x:c r="C7" s="78" t="str">
        <x:v>Sprint 0</x:v>
      </x:c>
      <x:c r="D7" s="78" t="str">
        <x:v>INF</x:v>
      </x:c>
      <x:c r="E7" s="78" t="str">
        <x:v>Engineering Foundation</x:v>
      </x:c>
      <x:c r="F7" s="78" t="str">
        <x:v>DevOps</x:v>
      </x:c>
      <x:c r="G7" s="78" t="str">
        <x:v>Configure CI pipeline for lint, unit tests, and merge blocking</x:v>
      </x:c>
      <x:c r="H7" s="78" t="str">
        <x:v>P0 / Must</x:v>
      </x:c>
      <x:c r="I7" s="78" t="str">
        <x:v>Committed</x:v>
      </x:c>
      <x:c r="J7" s="79" t="n">
        <x:v>2</x:v>
      </x:c>
      <x:c r="K7" s="78" t="str">
        <x:v>Dev B</x:v>
      </x:c>
      <x:c r="L7" s="78" t="str">
        <x:v>INF-01</x:v>
      </x:c>
      <x:c r="M7" s="78" t="str">
        <x:v>Every change runs the full test suite; failed checks block merge; pipeline output is visible to reviewers.</x:v>
      </x:c>
      <x:c r="N7" s="78" t="str">
        <x:v>PRD DoD</x:v>
      </x:c>
      <x:c r="O7" s="73" t="str">
        <x:v>PRD §5 Definition of Done; benchmark NoLimit #13</x:v>
      </x:c>
    </x:row>
    <x:row r="8" ht="48" customHeight="1">
      <x:c r="A8" s="72" t="str">
        <x:v>S0-F02-T01</x:v>
      </x:c>
      <x:c r="B8" s="78" t="str">
        <x:v>Task</x:v>
      </x:c>
      <x:c r="C8" s="78" t="str">
        <x:v>Sprint 0</x:v>
      </x:c>
      <x:c r="D8" s="78" t="str">
        <x:v>F02</x:v>
      </x:c>
      <x:c r="E8" s="78" t="str">
        <x:v>Login &amp; Session</x:v>
      </x:c>
      <x:c r="F8" s="78" t="str">
        <x:v>Backend</x:v>
      </x:c>
      <x:c r="G8" s="78" t="str">
        <x:v>Membuat proses masuk: mencocokkan email dan kata sandi, menyimpan kata sandi dalam bentuk teracak, dan menyimpan sesi di basis data supaya pengguna tidak diminta masuk ulang tiap pindah halaman.</x:v>
      </x:c>
      <x:c r="H8" s="78" t="str">
        <x:v>P0 / Must</x:v>
      </x:c>
      <x:c r="I8" s="78" t="str">
        <x:v>Committed</x:v>
      </x:c>
      <x:c r="J8" s="79" t="n">
        <x:v>2</x:v>
      </x:c>
      <x:c r="K8" s="78" t="str">
        <x:v>Dev A</x:v>
      </x:c>
      <x:c r="L8" s="78" t="str">
        <x:v>DEP-01</x:v>
      </x:c>
      <x:c r="M8" s="78" t="str">
        <x:v>Acceptance criteria F02 terpenuhi; test terkait lulus; review dan audit-log check mengikuti DoD.</x:v>
      </x:c>
      <x:c r="N8" s="78" t="str">
        <x:v>UAT-AUTH-005 s.d. 007</x:v>
      </x:c>
      <x:c r="O8" s="73" t="str">
        <x:v>PRD IITrack - Revised.docx §4–5; IITrack Project Charter.xlsx / Rincian Fitur</x:v>
      </x:c>
    </x:row>
    <x:row r="9" ht="48" customHeight="1">
      <x:c r="A9" s="72" t="str">
        <x:v>S0-F02-T02</x:v>
      </x:c>
      <x:c r="B9" s="78" t="str">
        <x:v>Task</x:v>
      </x:c>
      <x:c r="C9" s="78" t="str">
        <x:v>Sprint 0</x:v>
      </x:c>
      <x:c r="D9" s="78" t="str">
        <x:v>F02</x:v>
      </x:c>
      <x:c r="E9" s="78" t="str">
        <x:v>Login &amp; Session</x:v>
      </x:c>
      <x:c r="F9" s="78" t="str">
        <x:v>Backend</x:v>
      </x:c>
      <x:c r="G9" s="78" t="str">
        <x:v>Membuat pencabutan sesi otomatis, sehingga begitu masa jabatan seseorang habis atau akunnya dimatikan, ia langsung keluar tanpa menunggu sesinya berakhir sendiri.</x:v>
      </x:c>
      <x:c r="H9" s="78" t="str">
        <x:v>P0 / Must</x:v>
      </x:c>
      <x:c r="I9" s="78" t="str">
        <x:v>Committed</x:v>
      </x:c>
      <x:c r="J9" s="79" t="n">
        <x:v>2</x:v>
      </x:c>
      <x:c r="K9" s="78" t="str">
        <x:v>Dev A</x:v>
      </x:c>
      <x:c r="L9" s="78" t="str">
        <x:v>DEP-01</x:v>
      </x:c>
      <x:c r="M9" s="78" t="str">
        <x:v>Acceptance criteria F02 terpenuhi; test terkait lulus; review dan audit-log check mengikuti DoD.</x:v>
      </x:c>
      <x:c r="N9" s="78" t="str">
        <x:v>UAT-AUTH-005 s.d. 007</x:v>
      </x:c>
      <x:c r="O9" s="73" t="str">
        <x:v>PRD IITrack - Revised.docx §4–5; IITrack Project Charter.xlsx / Rincian Fitur</x:v>
      </x:c>
    </x:row>
    <x:row r="10" ht="48" customHeight="1">
      <x:c r="A10" s="72" t="str">
        <x:v>S0-F02-T03</x:v>
      </x:c>
      <x:c r="B10" s="78" t="str">
        <x:v>Task</x:v>
      </x:c>
      <x:c r="C10" s="78" t="str">
        <x:v>Sprint 0</x:v>
      </x:c>
      <x:c r="D10" s="78" t="str">
        <x:v>F02</x:v>
      </x:c>
      <x:c r="E10" s="78" t="str">
        <x:v>Login &amp; Session</x:v>
      </x:c>
      <x:c r="F10" s="78" t="str">
        <x:v>Frontend</x:v>
      </x:c>
      <x:c r="G10" s="78" t="str">
        <x:v>Membuat halaman masuk beserta pesan yang jelas ketika sesi sudah berakhir.</x:v>
      </x:c>
      <x:c r="H10" s="78" t="str">
        <x:v>P0 / Must</x:v>
      </x:c>
      <x:c r="I10" s="78" t="str">
        <x:v>Committed</x:v>
      </x:c>
      <x:c r="J10" s="79" t="n">
        <x:v>2</x:v>
      </x:c>
      <x:c r="K10" s="78" t="str">
        <x:v>Dev B</x:v>
      </x:c>
      <x:c r="L10" s="78" t="str">
        <x:v>DEP-01</x:v>
      </x:c>
      <x:c r="M10" s="78" t="str">
        <x:v>Acceptance criteria F02 terpenuhi; test terkait lulus; review dan audit-log check mengikuti DoD.</x:v>
      </x:c>
      <x:c r="N10" s="78" t="str">
        <x:v>UAT-AUTH-005 s.d. 007</x:v>
      </x:c>
      <x:c r="O10" s="73" t="str">
        <x:v>PRD IITrack - Revised.docx §4–5; IITrack Project Charter.xlsx / Rincian Fitur</x:v>
      </x:c>
    </x:row>
    <x:row r="11" ht="48" customHeight="1">
      <x:c r="A11" s="72" t="str">
        <x:v>S0-F03-T01</x:v>
      </x:c>
      <x:c r="B11" s="78" t="str">
        <x:v>Task</x:v>
      </x:c>
      <x:c r="C11" s="78" t="str">
        <x:v>Sprint 0</x:v>
      </x:c>
      <x:c r="D11" s="78" t="str">
        <x:v>F03</x:v>
      </x:c>
      <x:c r="E11" s="78" t="str">
        <x:v>Role-Based Access Control</x:v>
      </x:c>
      <x:c r="F11" s="78" t="str">
        <x:v>Backend</x:v>
      </x:c>
      <x:c r="G11" s="78" t="str">
        <x:v>Membuat tabel jabatan dan tabel penetapan jabatan yang menyimpan tanggal mulai dan tanggal selesai, supaya izin punya masa berlaku dan tidak menempel selamanya pada orang.</x:v>
      </x:c>
      <x:c r="H11" s="78" t="str">
        <x:v>P0 / Must</x:v>
      </x:c>
      <x:c r="I11" s="78" t="str">
        <x:v>Committed</x:v>
      </x:c>
      <x:c r="J11" s="79" t="n">
        <x:v>3</x:v>
      </x:c>
      <x:c r="K11" s="78" t="str">
        <x:v>Dev A</x:v>
      </x:c>
      <x:c r="L11" s="78" t="str">
        <x:v>DEP-01, DEP-02</x:v>
      </x:c>
      <x:c r="M11" s="78" t="str">
        <x:v>Acceptance criteria F03 terpenuhi; test terkait lulus; review dan audit-log check mengikuti DoD.</x:v>
      </x:c>
      <x:c r="N11" s="78" t="str">
        <x:v>UAT-RBAC-001 s.d. 006, UAT-NFR-005</x:v>
      </x:c>
      <x:c r="O11" s="73" t="str">
        <x:v>PRD IITrack - Revised.docx §4–5; IITrack Project Charter.xlsx / Rincian Fitur</x:v>
      </x:c>
    </x:row>
    <x:row r="12" ht="48" customHeight="1">
      <x:c r="A12" s="72" t="str">
        <x:v>S0-F03-T02</x:v>
      </x:c>
      <x:c r="B12" s="78" t="str">
        <x:v>Task</x:v>
      </x:c>
      <x:c r="C12" s="78" t="str">
        <x:v>Sprint 0</x:v>
      </x:c>
      <x:c r="D12" s="78" t="str">
        <x:v>F03</x:v>
      </x:c>
      <x:c r="E12" s="78" t="str">
        <x:v>Role-Based Access Control</x:v>
      </x:c>
      <x:c r="F12" s="78" t="str">
        <x:v>Backend</x:v>
      </x:c>
      <x:c r="G12" s="78" t="str">
        <x:v>Menulis penentu izin sebagai fungsi mandiri yang tidak menyentuh basis data, lengkap dengan pengujiannya, supaya aturan siapa boleh melakukan apa terkumpul di satu tempat dan cepat diuji.</x:v>
      </x:c>
      <x:c r="H12" s="78" t="str">
        <x:v>P0 / Must</x:v>
      </x:c>
      <x:c r="I12" s="78" t="str">
        <x:v>Committed</x:v>
      </x:c>
      <x:c r="J12" s="79" t="n">
        <x:v>4</x:v>
      </x:c>
      <x:c r="K12" s="78" t="str">
        <x:v>Dev A</x:v>
      </x:c>
      <x:c r="L12" s="78" t="str">
        <x:v>DEP-01, DEP-02</x:v>
      </x:c>
      <x:c r="M12" s="78" t="str">
        <x:v>Acceptance criteria F03 terpenuhi; test terkait lulus; review dan audit-log check mengikuti DoD.</x:v>
      </x:c>
      <x:c r="N12" s="78" t="str">
        <x:v>UAT-RBAC-001 s.d. 006, UAT-NFR-005</x:v>
      </x:c>
      <x:c r="O12" s="73" t="str">
        <x:v>PRD IITrack - Revised.docx §4–5; IITrack Project Charter.xlsx / Rincian Fitur</x:v>
      </x:c>
    </x:row>
    <x:row r="13" ht="48" customHeight="1">
      <x:c r="A13" s="72" t="str">
        <x:v>S0-F03-T03</x:v>
      </x:c>
      <x:c r="B13" s="78" t="str">
        <x:v>Task</x:v>
      </x:c>
      <x:c r="C13" s="78" t="str">
        <x:v>Sprint 0</x:v>
      </x:c>
      <x:c r="D13" s="78" t="str">
        <x:v>F03</x:v>
      </x:c>
      <x:c r="E13" s="78" t="str">
        <x:v>Role-Based Access Control</x:v>
      </x:c>
      <x:c r="F13" s="78" t="str">
        <x:v>Backend</x:v>
      </x:c>
      <x:c r="G13" s="78" t="str">
        <x:v>Memasang pemeriksa izin di sisi server pada setiap alamat permintaan, supaya larangan tetap berlaku walau seseorang memanggil sistem tanpa lewat tampilan.</x:v>
      </x:c>
      <x:c r="H13" s="78" t="str">
        <x:v>P0 / Must</x:v>
      </x:c>
      <x:c r="I13" s="78" t="str">
        <x:v>Committed</x:v>
      </x:c>
      <x:c r="J13" s="79" t="n">
        <x:v>3</x:v>
      </x:c>
      <x:c r="K13" s="78" t="str">
        <x:v>Dev A</x:v>
      </x:c>
      <x:c r="L13" s="78" t="str">
        <x:v>DEP-01, DEP-02</x:v>
      </x:c>
      <x:c r="M13" s="78" t="str">
        <x:v>Acceptance criteria F03 terpenuhi; test terkait lulus; review dan audit-log check mengikuti DoD.</x:v>
      </x:c>
      <x:c r="N13" s="78" t="str">
        <x:v>UAT-RBAC-001 s.d. 006, UAT-NFR-005</x:v>
      </x:c>
      <x:c r="O13" s="73" t="str">
        <x:v>PRD IITrack - Revised.docx §4–5; IITrack Project Charter.xlsx / Rincian Fitur</x:v>
      </x:c>
    </x:row>
    <x:row r="14" ht="48" customHeight="1">
      <x:c r="A14" s="72" t="str">
        <x:v>S0-F03-T04</x:v>
      </x:c>
      <x:c r="B14" s="78" t="str">
        <x:v>Task</x:v>
      </x:c>
      <x:c r="C14" s="78" t="str">
        <x:v>Sprint 0</x:v>
      </x:c>
      <x:c r="D14" s="78" t="str">
        <x:v>F03</x:v>
      </x:c>
      <x:c r="E14" s="78" t="str">
        <x:v>Role-Based Access Control</x:v>
      </x:c>
      <x:c r="F14" s="78" t="str">
        <x:v>Frontend</x:v>
      </x:c>
      <x:c r="G14" s="78" t="str">
        <x:v>Menyembunyikan tombol dan menu yang tidak boleh dipakai seseorang. Ini hanya pelengkap; larangan sesungguhnya tetap diperiksa di server.</x:v>
      </x:c>
      <x:c r="H14" s="78" t="str">
        <x:v>P0 / Must</x:v>
      </x:c>
      <x:c r="I14" s="78" t="str">
        <x:v>Committed</x:v>
      </x:c>
      <x:c r="J14" s="79" t="n">
        <x:v>2</x:v>
      </x:c>
      <x:c r="K14" s="78" t="str">
        <x:v>Dev B</x:v>
      </x:c>
      <x:c r="L14" s="78" t="str">
        <x:v>DEP-01, DEP-02</x:v>
      </x:c>
      <x:c r="M14" s="78" t="str">
        <x:v>Acceptance criteria F03 terpenuhi; test terkait lulus; review dan audit-log check mengikuti DoD.</x:v>
      </x:c>
      <x:c r="N14" s="78" t="str">
        <x:v>UAT-RBAC-001 s.d. 006, UAT-NFR-005</x:v>
      </x:c>
      <x:c r="O14" s="73" t="str">
        <x:v>PRD IITrack - Revised.docx §4–5; IITrack Project Charter.xlsx / Rincian Fitur</x:v>
      </x:c>
    </x:row>
    <x:row r="15" ht="48" customHeight="1">
      <x:c r="A15" s="72" t="str">
        <x:v>S0-F08-T01</x:v>
      </x:c>
      <x:c r="B15" s="78" t="str">
        <x:v>Task</x:v>
      </x:c>
      <x:c r="C15" s="78" t="str">
        <x:v>Sprint 0</x:v>
      </x:c>
      <x:c r="D15" s="78" t="str">
        <x:v>F08</x:v>
      </x:c>
      <x:c r="E15" s="78" t="str">
        <x:v>Project Hub</x:v>
      </x:c>
      <x:c r="F15" s="78" t="str">
        <x:v>Frontend</x:v>
      </x:c>
      <x:c r="G15" s="78" t="str">
        <x:v>Menyusun halaman project yang memuat identitas, tahap berjalan, dokumen, termin, tim, dan riwayat dalam satu layar.</x:v>
      </x:c>
      <x:c r="H15" s="78" t="str">
        <x:v>P0 / Must</x:v>
      </x:c>
      <x:c r="I15" s="78" t="str">
        <x:v>Committed</x:v>
      </x:c>
      <x:c r="J15" s="79" t="n">
        <x:v>3</x:v>
      </x:c>
      <x:c r="K15" s="78" t="str">
        <x:v>Dev B</x:v>
      </x:c>
      <x:c r="L15" s="78" t="str">
        <x:v>INF-01, F02, F03</x:v>
      </x:c>
      <x:c r="M15" s="78" t="str">
        <x:v>Acceptance criteria F08 terpenuhi; test terkait lulus; review dan audit-log check mengikuti DoD.</x:v>
      </x:c>
      <x:c r="N15" s="78" t="str">
        <x:v>UAT-HUB-001, UAT-HUB-002</x:v>
      </x:c>
      <x:c r="O15" s="73" t="str">
        <x:v>PRD IITrack - Revised.docx §4–5; IITrack Project Charter.xlsx / Rincian Fitur</x:v>
      </x:c>
    </x:row>
    <x:row r="16" ht="48" customHeight="1">
      <x:c r="A16" s="72" t="str">
        <x:v>S0-F08-T02</x:v>
      </x:c>
      <x:c r="B16" s="78" t="str">
        <x:v>Task</x:v>
      </x:c>
      <x:c r="C16" s="78" t="str">
        <x:v>Sprint 0</x:v>
      </x:c>
      <x:c r="D16" s="78" t="str">
        <x:v>F08</x:v>
      </x:c>
      <x:c r="E16" s="78" t="str">
        <x:v>Project Hub</x:v>
      </x:c>
      <x:c r="F16" s="78" t="str">
        <x:v>Design</x:v>
      </x:c>
      <x:c r="G16" s="78" t="str">
        <x:v>Menggambar rancangan halaman project dan susunan menu utama sebelum kode ditulis, supaya tata letaknya tidak berubah-ubah di tengah jalan.</x:v>
      </x:c>
      <x:c r="H16" s="78" t="str">
        <x:v>P0 / Must</x:v>
      </x:c>
      <x:c r="I16" s="78" t="str">
        <x:v>Committed</x:v>
      </x:c>
      <x:c r="J16" s="79" t="n">
        <x:v>3</x:v>
      </x:c>
      <x:c r="K16" s="78" t="str">
        <x:v>Dev B</x:v>
      </x:c>
      <x:c r="L16" s="78" t="str">
        <x:v>INF-01, F02, F03</x:v>
      </x:c>
      <x:c r="M16" s="78" t="str">
        <x:v>Acceptance criteria F08 terpenuhi; test terkait lulus; review dan audit-log check mengikuti DoD.</x:v>
      </x:c>
      <x:c r="N16" s="78" t="str">
        <x:v>UAT-HUB-001, UAT-HUB-002</x:v>
      </x:c>
      <x:c r="O16" s="73" t="str">
        <x:v>PRD IITrack - Revised.docx §4–5; IITrack Project Charter.xlsx / Rincian Fitur</x:v>
      </x:c>
    </x:row>
    <x:row r="17" ht="48" customHeight="1">
      <x:c r="A17" s="72" t="str">
        <x:v>S0-INF-UI-T01</x:v>
      </x:c>
      <x:c r="B17" s="78" t="str">
        <x:v>Task</x:v>
      </x:c>
      <x:c r="C17" s="78" t="str">
        <x:v>Sprint 0</x:v>
      </x:c>
      <x:c r="D17" s="78" t="str">
        <x:v>—</x:v>
      </x:c>
      <x:c r="E17" s="78" t="str">
        <x:v>Shared UI Components</x:v>
      </x:c>
      <x:c r="F17" s="78" t="str">
        <x:v>Design</x:v>
      </x:c>
      <x:c r="G17" s="78" t="str">
        <x:v>Menyiapkan kumpulan komponen yang dipakai berulang di banyak halaman: tabel, penanda status, kotak dialog, formulir, dan pesan kesalahan.</x:v>
      </x:c>
      <x:c r="H17" s="78" t="str">
        <x:v>P0 / Must</x:v>
      </x:c>
      <x:c r="I17" s="78" t="str">
        <x:v>Committed</x:v>
      </x:c>
      <x:c r="J17" s="79" t="n">
        <x:v>4</x:v>
      </x:c>
      <x:c r="K17" s="78" t="str">
        <x:v>Dev B</x:v>
      </x:c>
      <x:c r="L17" s="78" t="str">
        <x:v>INF-01</x:v>
      </x:c>
      <x:c r="M17" s="78" t="str">
        <x:v>Acceptance criteria — terpenuhi; test terkait lulus; review dan audit-log check mengikuti DoD.</x:v>
      </x:c>
      <x:c r="N17" s="78" t="str">
        <x:v>—</x:v>
      </x:c>
      <x:c r="O17" s="73" t="str">
        <x:v>PRD IITrack - Revised.docx §4–5; IITrack Project Charter.xlsx / Rincian Fitur</x:v>
      </x:c>
    </x:row>
    <x:row r="18" ht="48" customHeight="1">
      <x:c r="A18" s="72" t="str">
        <x:v>S1-F04-T01</x:v>
      </x:c>
      <x:c r="B18" s="78" t="str">
        <x:v>Task</x:v>
      </x:c>
      <x:c r="C18" s="78" t="str">
        <x:v>Sprint 1</x:v>
      </x:c>
      <x:c r="D18" s="78" t="str">
        <x:v>F04</x:v>
      </x:c>
      <x:c r="E18" s="78" t="str">
        <x:v>PM Assignment SLA</x:v>
      </x:c>
      <x:c r="F18" s="78" t="str">
        <x:v>Backend</x:v>
      </x:c>
      <x:c r="G18" s="78" t="str">
        <x:v>Menstempel waktu project diterima dan waktu PM ditugaskan, lalu menghitung selisihnya terhadap ambang enam jam kerja.</x:v>
      </x:c>
      <x:c r="H18" s="78" t="str">
        <x:v>P0 / Must</x:v>
      </x:c>
      <x:c r="I18" s="78" t="str">
        <x:v>Committed</x:v>
      </x:c>
      <x:c r="J18" s="79" t="n">
        <x:v>3</x:v>
      </x:c>
      <x:c r="K18" s="78" t="str">
        <x:v>Dev A</x:v>
      </x:c>
      <x:c r="L18" s="78" t="str">
        <x:v>F05, F07</x:v>
      </x:c>
      <x:c r="M18" s="78" t="str">
        <x:v>Acceptance criteria F04 terpenuhi; test terkait lulus; review dan audit-log check mengikuti DoD.</x:v>
      </x:c>
      <x:c r="N18" s="78" t="str">
        <x:v>UAT-OP-001</x:v>
      </x:c>
      <x:c r="O18" s="73" t="str">
        <x:v>PRD IITrack - Revised.docx §4–5; IITrack Project Charter.xlsx / Rincian Fitur</x:v>
      </x:c>
    </x:row>
    <x:row r="19" ht="48" customHeight="1">
      <x:c r="A19" s="72" t="str">
        <x:v>S1-F04-T02</x:v>
      </x:c>
      <x:c r="B19" s="78" t="str">
        <x:v>Task</x:v>
      </x:c>
      <x:c r="C19" s="78" t="str">
        <x:v>Sprint 1</x:v>
      </x:c>
      <x:c r="D19" s="78" t="str">
        <x:v>F04</x:v>
      </x:c>
      <x:c r="E19" s="78" t="str">
        <x:v>PM Assignment SLA</x:v>
      </x:c>
      <x:c r="F19" s="78" t="str">
        <x:v>Frontend</x:v>
      </x:c>
      <x:c r="G19" s="78" t="str">
        <x:v>Menampilkan selisih waktu penugasan terhadap ambang SLA.</x:v>
      </x:c>
      <x:c r="H19" s="78" t="str">
        <x:v>P0 / Must</x:v>
      </x:c>
      <x:c r="I19" s="78" t="str">
        <x:v>Committed</x:v>
      </x:c>
      <x:c r="J19" s="79" t="n">
        <x:v>2</x:v>
      </x:c>
      <x:c r="K19" s="78" t="str">
        <x:v>Dev B</x:v>
      </x:c>
      <x:c r="L19" s="78" t="str">
        <x:v>F05, F07</x:v>
      </x:c>
      <x:c r="M19" s="78" t="str">
        <x:v>Acceptance criteria F04 terpenuhi; test terkait lulus; review dan audit-log check mengikuti DoD.</x:v>
      </x:c>
      <x:c r="N19" s="78" t="str">
        <x:v>UAT-OP-001</x:v>
      </x:c>
      <x:c r="O19" s="73" t="str">
        <x:v>PRD IITrack - Revised.docx §4–5; IITrack Project Charter.xlsx / Rincian Fitur</x:v>
      </x:c>
    </x:row>
    <x:row r="20" ht="48" customHeight="1">
      <x:c r="A20" s="72" t="str">
        <x:v>S1-F05-T01</x:v>
      </x:c>
      <x:c r="B20" s="78" t="str">
        <x:v>Task</x:v>
      </x:c>
      <x:c r="C20" s="78" t="str">
        <x:v>Sprint 1</x:v>
      </x:c>
      <x:c r="D20" s="78" t="str">
        <x:v>F05</x:v>
      </x:c>
      <x:c r="E20" s="78" t="str">
        <x:v>Project Registration &amp; ID</x:v>
      </x:c>
      <x:c r="F20" s="78" t="str">
        <x:v>Backend</x:v>
      </x:c>
      <x:c r="G20" s="78" t="str">
        <x:v>Membuat tabel project dengan aturan basis data yang menjamin tidak akan pernah ada dua project bernomor sama, termasuk untuk project yang dibatalkan.</x:v>
      </x:c>
      <x:c r="H20" s="78" t="str">
        <x:v>P0 / Must</x:v>
      </x:c>
      <x:c r="I20" s="78" t="str">
        <x:v>Committed</x:v>
      </x:c>
      <x:c r="J20" s="79" t="n">
        <x:v>2</x:v>
      </x:c>
      <x:c r="K20" s="78" t="str">
        <x:v>Dev A</x:v>
      </x:c>
      <x:c r="L20" s="78" t="str">
        <x:v>INF-02, F24</x:v>
      </x:c>
      <x:c r="M20" s="78" t="str">
        <x:v>Acceptance criteria F05 terpenuhi; test terkait lulus; review dan audit-log check mengikuti DoD.</x:v>
      </x:c>
      <x:c r="N20" s="78" t="str">
        <x:v>UAT-PRJ-001 s.d. 006, UAT-NFR-006</x:v>
      </x:c>
      <x:c r="O20" s="73" t="str">
        <x:v>PRD IITrack - Revised.docx §4–5; IITrack Project Charter.xlsx / Rincian Fitur</x:v>
      </x:c>
    </x:row>
    <x:row r="21" ht="48" customHeight="1">
      <x:c r="A21" s="72" t="str">
        <x:v>S1-F05-T02</x:v>
      </x:c>
      <x:c r="B21" s="78" t="str">
        <x:v>Task</x:v>
      </x:c>
      <x:c r="C21" s="78" t="str">
        <x:v>Sprint 1</x:v>
      </x:c>
      <x:c r="D21" s="78" t="str">
        <x:v>F05</x:v>
      </x:c>
      <x:c r="E21" s="78" t="str">
        <x:v>Project Registration &amp; ID</x:v>
      </x:c>
      <x:c r="F21" s="78" t="str">
        <x:v>Backend</x:v>
      </x:c>
      <x:c r="G21" s="78" t="str">
        <x:v>Menulis penerbit nomor project berformat IIT-2627-NNN yang selalu berurutan tanpa lompatan, lengkap dengan pengujiannya.</x:v>
      </x:c>
      <x:c r="H21" s="78" t="str">
        <x:v>P0 / Must</x:v>
      </x:c>
      <x:c r="I21" s="78" t="str">
        <x:v>Committed</x:v>
      </x:c>
      <x:c r="J21" s="79" t="n">
        <x:v>3</x:v>
      </x:c>
      <x:c r="K21" s="78" t="str">
        <x:v>Dev A</x:v>
      </x:c>
      <x:c r="L21" s="78" t="str">
        <x:v>INF-02, F24</x:v>
      </x:c>
      <x:c r="M21" s="78" t="str">
        <x:v>Acceptance criteria F05 terpenuhi; test terkait lulus; review dan audit-log check mengikuti DoD.</x:v>
      </x:c>
      <x:c r="N21" s="78" t="str">
        <x:v>UAT-PRJ-001 s.d. 006, UAT-NFR-006</x:v>
      </x:c>
      <x:c r="O21" s="73" t="str">
        <x:v>PRD IITrack - Revised.docx §4–5; IITrack Project Charter.xlsx / Rincian Fitur</x:v>
      </x:c>
    </x:row>
    <x:row r="22" ht="48" customHeight="1">
      <x:c r="A22" s="72" t="str">
        <x:v>S1-F05-T03</x:v>
      </x:c>
      <x:c r="B22" s="78" t="str">
        <x:v>Task</x:v>
      </x:c>
      <x:c r="C22" s="78" t="str">
        <x:v>Sprint 1</x:v>
      </x:c>
      <x:c r="D22" s="78" t="str">
        <x:v>F05</x:v>
      </x:c>
      <x:c r="E22" s="78" t="str">
        <x:v>Project Registration &amp; ID</x:v>
      </x:c>
      <x:c r="F22" s="78" t="str">
        <x:v>Backend</x:v>
      </x:c>
      <x:c r="G22" s="78" t="str">
        <x:v>Membuat proses pendaftaran project, termasuk kemungkinan COO menetapkan nomor secara manual yang otomatis tercatat sebagai pengecualian.</x:v>
      </x:c>
      <x:c r="H22" s="78" t="str">
        <x:v>P0 / Must</x:v>
      </x:c>
      <x:c r="I22" s="78" t="str">
        <x:v>Committed</x:v>
      </x:c>
      <x:c r="J22" s="79" t="n">
        <x:v>2</x:v>
      </x:c>
      <x:c r="K22" s="78" t="str">
        <x:v>Dev A</x:v>
      </x:c>
      <x:c r="L22" s="78" t="str">
        <x:v>INF-02, F24</x:v>
      </x:c>
      <x:c r="M22" s="78" t="str">
        <x:v>Acceptance criteria F05 terpenuhi; test terkait lulus; review dan audit-log check mengikuti DoD.</x:v>
      </x:c>
      <x:c r="N22" s="78" t="str">
        <x:v>UAT-PRJ-001 s.d. 006, UAT-NFR-006</x:v>
      </x:c>
      <x:c r="O22" s="73" t="str">
        <x:v>PRD IITrack - Revised.docx §4–5; IITrack Project Charter.xlsx / Rincian Fitur</x:v>
      </x:c>
    </x:row>
    <x:row r="23" ht="48" customHeight="1">
      <x:c r="A23" s="72" t="str">
        <x:v>S1-F05-T04</x:v>
      </x:c>
      <x:c r="B23" s="78" t="str">
        <x:v>Task</x:v>
      </x:c>
      <x:c r="C23" s="78" t="str">
        <x:v>Sprint 1</x:v>
      </x:c>
      <x:c r="D23" s="78" t="str">
        <x:v>F05</x:v>
      </x:c>
      <x:c r="E23" s="78" t="str">
        <x:v>Project Registration &amp; ID</x:v>
      </x:c>
      <x:c r="F23" s="78" t="str">
        <x:v>Frontend</x:v>
      </x:c>
      <x:c r="G23" s="78" t="str">
        <x:v>Membuat formulir pendaftaran project dan menampilkan nomor project yang baru terbit dengan jelas.</x:v>
      </x:c>
      <x:c r="H23" s="78" t="str">
        <x:v>P0 / Must</x:v>
      </x:c>
      <x:c r="I23" s="78" t="str">
        <x:v>Committed</x:v>
      </x:c>
      <x:c r="J23" s="79" t="n">
        <x:v>3</x:v>
      </x:c>
      <x:c r="K23" s="78" t="str">
        <x:v>Dev B</x:v>
      </x:c>
      <x:c r="L23" s="78" t="str">
        <x:v>INF-02, F24</x:v>
      </x:c>
      <x:c r="M23" s="78" t="str">
        <x:v>Acceptance criteria F05 terpenuhi; test terkait lulus; review dan audit-log check mengikuti DoD.</x:v>
      </x:c>
      <x:c r="N23" s="78" t="str">
        <x:v>UAT-PRJ-001 s.d. 006, UAT-NFR-006</x:v>
      </x:c>
      <x:c r="O23" s="73" t="str">
        <x:v>PRD IITrack - Revised.docx §4–5; IITrack Project Charter.xlsx / Rincian Fitur</x:v>
      </x:c>
    </x:row>
    <x:row r="24" ht="48" customHeight="1">
      <x:c r="A24" s="72" t="str">
        <x:v>S1-F05-T05</x:v>
      </x:c>
      <x:c r="B24" s="78" t="str">
        <x:v>Task</x:v>
      </x:c>
      <x:c r="C24" s="78" t="str">
        <x:v>Sprint 1</x:v>
      </x:c>
      <x:c r="D24" s="78" t="str">
        <x:v>F05</x:v>
      </x:c>
      <x:c r="E24" s="78" t="str">
        <x:v>Project Registration &amp; ID</x:v>
      </x:c>
      <x:c r="F24" s="78" t="str">
        <x:v>Design</x:v>
      </x:c>
      <x:c r="G24" s="78" t="str">
        <x:v>Menggambar rancangan formulir pendaftaran project dan jadwal termin.</x:v>
      </x:c>
      <x:c r="H24" s="78" t="str">
        <x:v>P0 / Must</x:v>
      </x:c>
      <x:c r="I24" s="78" t="str">
        <x:v>Committed</x:v>
      </x:c>
      <x:c r="J24" s="79" t="n">
        <x:v>2</x:v>
      </x:c>
      <x:c r="K24" s="78" t="str">
        <x:v>Dev B</x:v>
      </x:c>
      <x:c r="L24" s="78" t="str">
        <x:v>INF-02, F24</x:v>
      </x:c>
      <x:c r="M24" s="78" t="str">
        <x:v>Acceptance criteria F05 terpenuhi; test terkait lulus; review dan audit-log check mengikuti DoD.</x:v>
      </x:c>
      <x:c r="N24" s="78" t="str">
        <x:v>UAT-PRJ-001 s.d. 006, UAT-NFR-006</x:v>
      </x:c>
      <x:c r="O24" s="73" t="str">
        <x:v>PRD IITrack - Revised.docx §4–5; IITrack Project Charter.xlsx / Rincian Fitur</x:v>
      </x:c>
    </x:row>
    <x:row r="25" ht="48" customHeight="1">
      <x:c r="A25" s="72" t="str">
        <x:v>S1-F06-T01</x:v>
      </x:c>
      <x:c r="B25" s="78" t="str">
        <x:v>Task</x:v>
      </x:c>
      <x:c r="C25" s="78" t="str">
        <x:v>Sprint 1</x:v>
      </x:c>
      <x:c r="D25" s="78" t="str">
        <x:v>F06</x:v>
      </x:c>
      <x:c r="E25" s="78" t="str">
        <x:v>Master Data Client</x:v>
      </x:c>
      <x:c r="F25" s="78" t="str">
        <x:v>Backend</x:v>
      </x:c>
      <x:c r="G25" s="78" t="str">
        <x:v>Membuat pengelolaan data client, dengan versi lama tetap disimpan setiap kali datanya diubah, supaya project yang sudah berjalan tidak kehilangan rujukan.</x:v>
      </x:c>
      <x:c r="H25" s="78" t="str">
        <x:v>P0 / Must</x:v>
      </x:c>
      <x:c r="I25" s="78" t="str">
        <x:v>Committed</x:v>
      </x:c>
      <x:c r="J25" s="79" t="n">
        <x:v>2</x:v>
      </x:c>
      <x:c r="K25" s="78" t="str">
        <x:v>Dev B</x:v>
      </x:c>
      <x:c r="L25" s="78" t="str">
        <x:v>INF-02, F24</x:v>
      </x:c>
      <x:c r="M25" s="78" t="str">
        <x:v>Acceptance criteria F06 terpenuhi; test terkait lulus; review dan audit-log check mengikuti DoD.</x:v>
      </x:c>
      <x:c r="N25" s="78" t="str">
        <x:v>UAT-CLIENT-001, UAT-CLIENT-002</x:v>
      </x:c>
      <x:c r="O25" s="73" t="str">
        <x:v>PRD IITrack - Revised.docx §4–5; IITrack Project Charter.xlsx / Rincian Fitur</x:v>
      </x:c>
    </x:row>
    <x:row r="26" ht="48" customHeight="1">
      <x:c r="A26" s="72" t="str">
        <x:v>S1-F06-T02</x:v>
      </x:c>
      <x:c r="B26" s="78" t="str">
        <x:v>Task</x:v>
      </x:c>
      <x:c r="C26" s="78" t="str">
        <x:v>Sprint 1</x:v>
      </x:c>
      <x:c r="D26" s="78" t="str">
        <x:v>F06</x:v>
      </x:c>
      <x:c r="E26" s="78" t="str">
        <x:v>Master Data Client</x:v>
      </x:c>
      <x:c r="F26" s="78" t="str">
        <x:v>Frontend</x:v>
      </x:c>
      <x:c r="G26" s="78" t="str">
        <x:v>Membuat halaman daftar client beserta formulir penambahannya.</x:v>
      </x:c>
      <x:c r="H26" s="78" t="str">
        <x:v>P0 / Must</x:v>
      </x:c>
      <x:c r="I26" s="78" t="str">
        <x:v>Committed</x:v>
      </x:c>
      <x:c r="J26" s="79" t="n">
        <x:v>2</x:v>
      </x:c>
      <x:c r="K26" s="78" t="str">
        <x:v>Dev B</x:v>
      </x:c>
      <x:c r="L26" s="78" t="str">
        <x:v>INF-02, F24</x:v>
      </x:c>
      <x:c r="M26" s="78" t="str">
        <x:v>Acceptance criteria F06 terpenuhi; test terkait lulus; review dan audit-log check mengikuti DoD.</x:v>
      </x:c>
      <x:c r="N26" s="78" t="str">
        <x:v>UAT-CLIENT-001, UAT-CLIENT-002</x:v>
      </x:c>
      <x:c r="O26" s="73" t="str">
        <x:v>PRD IITrack - Revised.docx §4–5; IITrack Project Charter.xlsx / Rincian Fitur</x:v>
      </x:c>
    </x:row>
    <x:row r="27" ht="48" customHeight="1">
      <x:c r="A27" s="72" t="str">
        <x:v>S1-F07-T01</x:v>
      </x:c>
      <x:c r="B27" s="78" t="str">
        <x:v>Task</x:v>
      </x:c>
      <x:c r="C27" s="78" t="str">
        <x:v>Sprint 1</x:v>
      </x:c>
      <x:c r="D27" s="78" t="str">
        <x:v>F07</x:v>
      </x:c>
      <x:c r="E27" s="78" t="str">
        <x:v>Master Data Member &amp; Role</x:v>
      </x:c>
      <x:c r="F27" s="78" t="str">
        <x:v>Backend</x:v>
      </x:c>
      <x:c r="G27" s="78" t="str">
        <x:v>Membuat pengelolaan data pengurus beserta alur serah terima jabatan: menutup masa jabatan lama dan membuka masa jabatan baru dalam satu langkah.</x:v>
      </x:c>
      <x:c r="H27" s="78" t="str">
        <x:v>P0 / Must</x:v>
      </x:c>
      <x:c r="I27" s="78" t="str">
        <x:v>Committed</x:v>
      </x:c>
      <x:c r="J27" s="79" t="n">
        <x:v>3</x:v>
      </x:c>
      <x:c r="K27" s="78" t="str">
        <x:v>Dev A</x:v>
      </x:c>
      <x:c r="L27" s="78" t="str">
        <x:v>INF-02, F24</x:v>
      </x:c>
      <x:c r="M27" s="78" t="str">
        <x:v>Acceptance criteria F07 terpenuhi; test terkait lulus; review dan audit-log check mengikuti DoD.</x:v>
      </x:c>
      <x:c r="N27" s="78" t="str">
        <x:v>UAT-USER-001, UAT-USER-002, UAT-HAND-001 s.d. 003</x:v>
      </x:c>
      <x:c r="O27" s="73" t="str">
        <x:v>PRD IITrack - Revised.docx §4–5; IITrack Project Charter.xlsx / Rincian Fitur</x:v>
      </x:c>
    </x:row>
    <x:row r="28" ht="48" customHeight="1">
      <x:c r="A28" s="72" t="str">
        <x:v>S1-F07-T02</x:v>
      </x:c>
      <x:c r="B28" s="78" t="str">
        <x:v>Task</x:v>
      </x:c>
      <x:c r="C28" s="78" t="str">
        <x:v>Sprint 1</x:v>
      </x:c>
      <x:c r="D28" s="78" t="str">
        <x:v>F07</x:v>
      </x:c>
      <x:c r="E28" s="78" t="str">
        <x:v>Master Data Member &amp; Role</x:v>
      </x:c>
      <x:c r="F28" s="78" t="str">
        <x:v>Frontend</x:v>
      </x:c>
      <x:c r="G28" s="78" t="str">
        <x:v>Membuat halaman daftar pengurus, formulir jabatan, dan alur serah terima.</x:v>
      </x:c>
      <x:c r="H28" s="78" t="str">
        <x:v>P0 / Must</x:v>
      </x:c>
      <x:c r="I28" s="78" t="str">
        <x:v>Committed</x:v>
      </x:c>
      <x:c r="J28" s="79" t="n">
        <x:v>3</x:v>
      </x:c>
      <x:c r="K28" s="78" t="str">
        <x:v>Dev B</x:v>
      </x:c>
      <x:c r="L28" s="78" t="str">
        <x:v>INF-02, F24</x:v>
      </x:c>
      <x:c r="M28" s="78" t="str">
        <x:v>Acceptance criteria F07 terpenuhi; test terkait lulus; review dan audit-log check mengikuti DoD.</x:v>
      </x:c>
      <x:c r="N28" s="78" t="str">
        <x:v>UAT-USER-001, UAT-USER-002, UAT-HAND-001 s.d. 003</x:v>
      </x:c>
      <x:c r="O28" s="73" t="str">
        <x:v>PRD IITrack - Revised.docx §4–5; IITrack Project Charter.xlsx / Rincian Fitur</x:v>
      </x:c>
    </x:row>
    <x:row r="29" ht="48" customHeight="1">
      <x:c r="A29" s="72" t="str">
        <x:v>S1-F09-T01</x:v>
      </x:c>
      <x:c r="B29" s="78" t="str">
        <x:v>Task</x:v>
      </x:c>
      <x:c r="C29" s="78" t="str">
        <x:v>Sprint 1</x:v>
      </x:c>
      <x:c r="D29" s="78" t="str">
        <x:v>F09</x:v>
      </x:c>
      <x:c r="E29" s="78" t="str">
        <x:v>Stage Management</x:v>
      </x:c>
      <x:c r="F29" s="78" t="str">
        <x:v>Backend</x:v>
      </x:c>
      <x:c r="G29" s="78" t="str">
        <x:v>Membuat tabel riwayat perpindahan tahap beserta prosesnya, sehingga tahap project menjadi data yang bisa dibaca, bukan kesepakatan lisan.</x:v>
      </x:c>
      <x:c r="H29" s="78" t="str">
        <x:v>P0 / Must</x:v>
      </x:c>
      <x:c r="I29" s="78" t="str">
        <x:v>Committed</x:v>
      </x:c>
      <x:c r="J29" s="79" t="n">
        <x:v>3</x:v>
      </x:c>
      <x:c r="K29" s="78" t="str">
        <x:v>Dev A</x:v>
      </x:c>
      <x:c r="L29" s="78" t="str">
        <x:v>F05, F24, DEP-04</x:v>
      </x:c>
      <x:c r="M29" s="78" t="str">
        <x:v>Acceptance criteria F09 terpenuhi; test terkait lulus; review dan audit-log check mengikuti DoD.</x:v>
      </x:c>
      <x:c r="N29" s="78" t="str">
        <x:v>UAT-STAGE-001, UAT-STAGE-002</x:v>
      </x:c>
      <x:c r="O29" s="73" t="str">
        <x:v>PRD IITrack - Revised.docx §4–5; IITrack Project Charter.xlsx / Rincian Fitur</x:v>
      </x:c>
    </x:row>
    <x:row r="30" ht="48" customHeight="1">
      <x:c r="A30" s="72" t="str">
        <x:v>S1-F09-T02</x:v>
      </x:c>
      <x:c r="B30" s="78" t="str">
        <x:v>Task</x:v>
      </x:c>
      <x:c r="C30" s="78" t="str">
        <x:v>Sprint 1</x:v>
      </x:c>
      <x:c r="D30" s="78" t="str">
        <x:v>F09</x:v>
      </x:c>
      <x:c r="E30" s="78" t="str">
        <x:v>Stage Management</x:v>
      </x:c>
      <x:c r="F30" s="78" t="str">
        <x:v>Frontend</x:v>
      </x:c>
      <x:c r="G30" s="78" t="str">
        <x:v>Menampilkan tahap yang sedang berjalan dan tombol untuk mengajukan perpindahan tahap.</x:v>
      </x:c>
      <x:c r="H30" s="78" t="str">
        <x:v>P0 / Must</x:v>
      </x:c>
      <x:c r="I30" s="78" t="str">
        <x:v>Committed</x:v>
      </x:c>
      <x:c r="J30" s="79" t="n">
        <x:v>2</x:v>
      </x:c>
      <x:c r="K30" s="78" t="str">
        <x:v>Dev B</x:v>
      </x:c>
      <x:c r="L30" s="78" t="str">
        <x:v>F05, F24, DEP-04</x:v>
      </x:c>
      <x:c r="M30" s="78" t="str">
        <x:v>Acceptance criteria F09 terpenuhi; test terkait lulus; review dan audit-log check mengikuti DoD.</x:v>
      </x:c>
      <x:c r="N30" s="78" t="str">
        <x:v>UAT-STAGE-001, UAT-STAGE-002</x:v>
      </x:c>
      <x:c r="O30" s="73" t="str">
        <x:v>PRD IITrack - Revised.docx §4–5; IITrack Project Charter.xlsx / Rincian Fitur</x:v>
      </x:c>
    </x:row>
    <x:row r="31" ht="48" customHeight="1">
      <x:c r="A31" s="72" t="str">
        <x:v>S1-F24-T01</x:v>
      </x:c>
      <x:c r="B31" s="78" t="str">
        <x:v>Task</x:v>
      </x:c>
      <x:c r="C31" s="78" t="str">
        <x:v>Sprint 1</x:v>
      </x:c>
      <x:c r="D31" s="78" t="str">
        <x:v>F24</x:v>
      </x:c>
      <x:c r="E31" s="78" t="str">
        <x:v>Audit Trail</x:v>
      </x:c>
      <x:c r="F31" s="78" t="str">
        <x:v>Backend</x:v>
      </x:c>
      <x:c r="G31" s="78" t="str">
        <x:v>Membuat tabel jejak aktivitas yang hanya bisa ditambah dan tidak bisa diubah atau dihapus oleh siapa pun, supaya catatan lama tidak dapat dirapikan belakangan.</x:v>
      </x:c>
      <x:c r="H31" s="78" t="str">
        <x:v>P0 / Must</x:v>
      </x:c>
      <x:c r="I31" s="78" t="str">
        <x:v>Committed</x:v>
      </x:c>
      <x:c r="J31" s="79" t="n">
        <x:v>3</x:v>
      </x:c>
      <x:c r="K31" s="78" t="str">
        <x:v>Dev A</x:v>
      </x:c>
      <x:c r="L31" s="78" t="str">
        <x:v>INF-02</x:v>
      </x:c>
      <x:c r="M31" s="78" t="str">
        <x:v>Acceptance criteria F24 terpenuhi; test terkait lulus; review dan audit-log check mengikuti DoD.</x:v>
      </x:c>
      <x:c r="N31" s="78" t="str">
        <x:v>UAT-HIST-001 s.d. 005, UAT-NFR-003</x:v>
      </x:c>
      <x:c r="O31" s="73" t="str">
        <x:v>PRD IITrack - Revised.docx §4–5; IITrack Project Charter.xlsx / Rincian Fitur</x:v>
      </x:c>
    </x:row>
    <x:row r="32" ht="48" customHeight="1">
      <x:c r="A32" s="72" t="str">
        <x:v>S1-F24-T02</x:v>
      </x:c>
      <x:c r="B32" s="78" t="str">
        <x:v>Task</x:v>
      </x:c>
      <x:c r="C32" s="78" t="str">
        <x:v>Sprint 1</x:v>
      </x:c>
      <x:c r="D32" s="78" t="str">
        <x:v>F24</x:v>
      </x:c>
      <x:c r="E32" s="78" t="str">
        <x:v>Audit Trail</x:v>
      </x:c>
      <x:c r="F32" s="78" t="str">
        <x:v>Backend</x:v>
      </x:c>
      <x:c r="G32" s="78" t="str">
        <x:v>Membuat satu fungsi pencatat jejak dan memanggilnya dari setiap tindakan penting, supaya pencatatan tidak bergantung pada ingatan penulis kode di masing-masing fitur.</x:v>
      </x:c>
      <x:c r="H32" s="78" t="str">
        <x:v>P0 / Must</x:v>
      </x:c>
      <x:c r="I32" s="78" t="str">
        <x:v>Committed</x:v>
      </x:c>
      <x:c r="J32" s="79" t="n">
        <x:v>4</x:v>
      </x:c>
      <x:c r="K32" s="78" t="str">
        <x:v>Dev B</x:v>
      </x:c>
      <x:c r="L32" s="78" t="str">
        <x:v>INF-02</x:v>
      </x:c>
      <x:c r="M32" s="78" t="str">
        <x:v>Acceptance criteria F24 terpenuhi; test terkait lulus; review dan audit-log check mengikuti DoD.</x:v>
      </x:c>
      <x:c r="N32" s="78" t="str">
        <x:v>UAT-HIST-001 s.d. 005, UAT-NFR-003</x:v>
      </x:c>
      <x:c r="O32" s="73" t="str">
        <x:v>PRD IITrack - Revised.docx §4–5; IITrack Project Charter.xlsx / Rincian Fitur</x:v>
      </x:c>
    </x:row>
    <x:row r="33" ht="48" customHeight="1">
      <x:c r="A33" s="72" t="str">
        <x:v>S1-F24-T03</x:v>
      </x:c>
      <x:c r="B33" s="78" t="str">
        <x:v>Task</x:v>
      </x:c>
      <x:c r="C33" s="78" t="str">
        <x:v>Sprint 1</x:v>
      </x:c>
      <x:c r="D33" s="78" t="str">
        <x:v>F24</x:v>
      </x:c>
      <x:c r="E33" s="78" t="str">
        <x:v>Audit Trail</x:v>
      </x:c>
      <x:c r="F33" s="78" t="str">
        <x:v>Frontend</x:v>
      </x:c>
      <x:c r="G33" s="78" t="str">
        <x:v>Menampilkan riwayat aktivitas project sebagai daftar yang mudah dibaca, bukan tabel mentah.</x:v>
      </x:c>
      <x:c r="H33" s="78" t="str">
        <x:v>P0 / Must</x:v>
      </x:c>
      <x:c r="I33" s="78" t="str">
        <x:v>Committed</x:v>
      </x:c>
      <x:c r="J33" s="79" t="n">
        <x:v>2</x:v>
      </x:c>
      <x:c r="K33" s="78" t="str">
        <x:v>Dev B</x:v>
      </x:c>
      <x:c r="L33" s="78" t="str">
        <x:v>INF-02</x:v>
      </x:c>
      <x:c r="M33" s="78" t="str">
        <x:v>Acceptance criteria F24 terpenuhi; test terkait lulus; review dan audit-log check mengikuti DoD.</x:v>
      </x:c>
      <x:c r="N33" s="78" t="str">
        <x:v>UAT-HIST-001 s.d. 005, UAT-NFR-003</x:v>
      </x:c>
      <x:c r="O33" s="73" t="str">
        <x:v>PRD IITrack - Revised.docx §4–5; IITrack Project Charter.xlsx / Rincian Fitur</x:v>
      </x:c>
    </x:row>
    <x:row r="34" ht="48" customHeight="1">
      <x:c r="A34" s="72" t="str">
        <x:v>S1-X01</x:v>
      </x:c>
      <x:c r="B34" s="78" t="str">
        <x:v>Task</x:v>
      </x:c>
      <x:c r="C34" s="78" t="str">
        <x:v>Sprint 1</x:v>
      </x:c>
      <x:c r="D34" s="78" t="str">
        <x:v>X-CUT</x:v>
      </x:c>
      <x:c r="E34" s="78" t="str">
        <x:v>Cross-Cutting Engineering</x:v>
      </x:c>
      <x:c r="F34" s="78" t="str">
        <x:v>Backend</x:v>
      </x:c>
      <x:c r="G34" s="78" t="str">
        <x:v>Integrate Project ID, client, member/role, stage, PM assignment, and audit contracts</x:v>
      </x:c>
      <x:c r="H34" s="78" t="str">
        <x:v>P0 / Must</x:v>
      </x:c>
      <x:c r="I34" s="78" t="str">
        <x:v>Committed</x:v>
      </x:c>
      <x:c r="J34" s="79" t="n">
        <x:v>4</x:v>
      </x:c>
      <x:c r="K34" s="78" t="str">
        <x:v>Dev A</x:v>
      </x:c>
      <x:c r="L34" s="78" t="str">
        <x:v>F05, F06, F07, F09, F24</x:v>
      </x:c>
      <x:c r="M34" s="78" t="str">
        <x:v>One vertical slice creates a project, assigns a PM, changes stage, and produces consistent audit entries.</x:v>
      </x:c>
      <x:c r="N34" s="78" t="str">
        <x:v>UAT-E2E-001 partial</x:v>
      </x:c>
      <x:c r="O34" s="73" t="str">
        <x:v>PRD §7 Sprint 1; NoLimit parent/sub-issue pattern</x:v>
      </x:c>
    </x:row>
    <x:row r="35" ht="48" customHeight="1">
      <x:c r="A35" s="72" t="str">
        <x:v>S1-X02</x:v>
      </x:c>
      <x:c r="B35" s="78" t="str">
        <x:v>Task</x:v>
      </x:c>
      <x:c r="C35" s="78" t="str">
        <x:v>Sprint 1</x:v>
      </x:c>
      <x:c r="D35" s="78" t="str">
        <x:v>X-CUT</x:v>
      </x:c>
      <x:c r="E35" s="78" t="str">
        <x:v>Cross-Cutting Engineering</x:v>
      </x:c>
      <x:c r="F35" s="78" t="str">
        <x:v>QA</x:v>
      </x:c>
      <x:c r="G35" s="78" t="str">
        <x:v>Complete module-level tests and trace Must-Have acceptance criteria to UAT</x:v>
      </x:c>
      <x:c r="H35" s="78" t="str">
        <x:v>P0 / Must</x:v>
      </x:c>
      <x:c r="I35" s="78" t="str">
        <x:v>Committed</x:v>
      </x:c>
      <x:c r="J35" s="79" t="n">
        <x:v>4</x:v>
      </x:c>
      <x:c r="K35" s="78" t="str">
        <x:v>Dev A</x:v>
      </x:c>
      <x:c r="L35" s="78" t="str">
        <x:v>Sprint 1 feature tasks</x:v>
      </x:c>
      <x:c r="M35" s="78" t="str">
        <x:v>Every Sprint 1 Must-Have acceptance criterion has a passing automated test and mapped UAT reference.</x:v>
      </x:c>
      <x:c r="N35" s="78" t="str">
        <x:v>Sprint 1 mapped UAT</x:v>
      </x:c>
      <x:c r="O35" s="73" t="str">
        <x:v>PRD §5 DoD and Appendix B</x:v>
      </x:c>
    </x:row>
    <x:row r="36" ht="48" customHeight="1">
      <x:c r="A36" s="72" t="str">
        <x:v>S1-X03</x:v>
      </x:c>
      <x:c r="B36" s="78" t="str">
        <x:v>Task</x:v>
      </x:c>
      <x:c r="C36" s="78" t="str">
        <x:v>Sprint 1</x:v>
      </x:c>
      <x:c r="D36" s="78" t="str">
        <x:v>X-CUT</x:v>
      </x:c>
      <x:c r="E36" s="78" t="str">
        <x:v>Cross-Cutting Engineering</x:v>
      </x:c>
      <x:c r="F36" s="78" t="str">
        <x:v>Security &amp; NFR</x:v>
      </x:c>
      <x:c r="G36" s="78" t="str">
        <x:v>Verify server-side authorization, Project ID integrity, and audit immutability</x:v>
      </x:c>
      <x:c r="H36" s="78" t="str">
        <x:v>P0 / Must</x:v>
      </x:c>
      <x:c r="I36" s="78" t="str">
        <x:v>Committed</x:v>
      </x:c>
      <x:c r="J36" s="79" t="n">
        <x:v>4</x:v>
      </x:c>
      <x:c r="K36" s="78" t="str">
        <x:v>Dev B</x:v>
      </x:c>
      <x:c r="L36" s="78" t="str">
        <x:v>F03, F05, F24</x:v>
      </x:c>
      <x:c r="M36" s="78" t="str">
        <x:v>Direct unauthorized requests are rejected; duplicate/recycled Project IDs fail; audit entries cannot be changed or deleted.</x:v>
      </x:c>
      <x:c r="N36" s="78" t="str">
        <x:v>UAT-NFR-003, 005, 006</x:v>
      </x:c>
      <x:c r="O36" s="73" t="str">
        <x:v>PRD §5 NFR</x:v>
      </x:c>
    </x:row>
    <x:row r="37" ht="48" customHeight="1">
      <x:c r="A37" s="72" t="str">
        <x:v>S1-X04</x:v>
      </x:c>
      <x:c r="B37" s="78" t="str">
        <x:v>Reserve</x:v>
      </x:c>
      <x:c r="C37" s="78" t="str">
        <x:v>Sprint 1</x:v>
      </x:c>
      <x:c r="D37" s="78" t="str">
        <x:v>X-CUT</x:v>
      </x:c>
      <x:c r="E37" s="78" t="str">
        <x:v>Quality Reserve</x:v>
      </x:c>
      <x:c r="F37" s="78" t="str">
        <x:v>Full-stack</x:v>
      </x:c>
      <x:c r="G37" s="78" t="str">
        <x:v>Reserved capacity for defects and estimate variance found during Sprint 0/1</x:v>
      </x:c>
      <x:c r="H37" s="78" t="str">
        <x:v>P0 / Must</x:v>
      </x:c>
      <x:c r="I37" s="78" t="str">
        <x:v>Committed</x:v>
      </x:c>
      <x:c r="J37" s="79" t="n">
        <x:v>3</x:v>
      </x:c>
      <x:c r="K37" s="78" t="str">
        <x:v>Dev A</x:v>
      </x:c>
      <x:c r="L37" s="78" t="str">
        <x:v>Sprint review findings</x:v>
      </x:c>
      <x:c r="M37" s="78" t="str">
        <x:v>Used only for Must-Have defects or cross-cutting overrun; unused hours remain capacity reserve.</x:v>
      </x:c>
      <x:c r="N37" s="78" t="str">
        <x:v>As applicable</x:v>
      </x:c>
      <x:c r="O37" s="73" t="str">
        <x:v>PRD §6 risk mitigation</x:v>
      </x:c>
    </x:row>
    <x:row r="38" ht="48" customHeight="1">
      <x:c r="A38" s="72" t="str">
        <x:v>S1-X05</x:v>
      </x:c>
      <x:c r="B38" s="78" t="str">
        <x:v>Reserve</x:v>
      </x:c>
      <x:c r="C38" s="78" t="str">
        <x:v>Sprint 1</x:v>
      </x:c>
      <x:c r="D38" s="78" t="str">
        <x:v>X-CUT</x:v>
      </x:c>
      <x:c r="E38" s="78" t="str">
        <x:v>Quality Reserve</x:v>
      </x:c>
      <x:c r="F38" s="78" t="str">
        <x:v>Full-stack</x:v>
      </x:c>
      <x:c r="G38" s="78" t="str">
        <x:v>Reserved capacity for defects and estimate variance found during Sprint 0/1</x:v>
      </x:c>
      <x:c r="H38" s="78" t="str">
        <x:v>P0 / Must</x:v>
      </x:c>
      <x:c r="I38" s="78" t="str">
        <x:v>Committed</x:v>
      </x:c>
      <x:c r="J38" s="79" t="n">
        <x:v>4</x:v>
      </x:c>
      <x:c r="K38" s="78" t="str">
        <x:v>Dev B</x:v>
      </x:c>
      <x:c r="L38" s="78" t="str">
        <x:v>Sprint review findings</x:v>
      </x:c>
      <x:c r="M38" s="78" t="str">
        <x:v>Used only for Must-Have defects or cross-cutting overrun; unused hours remain capacity reserve.</x:v>
      </x:c>
      <x:c r="N38" s="78" t="str">
        <x:v>As applicable</x:v>
      </x:c>
      <x:c r="O38" s="73" t="str">
        <x:v>PRD §6 risk mitigation</x:v>
      </x:c>
    </x:row>
    <x:row r="39" ht="48" customHeight="1">
      <x:c r="A39" s="72" t="str">
        <x:v>S2-F13-T01</x:v>
      </x:c>
      <x:c r="B39" s="78" t="str">
        <x:v>Task</x:v>
      </x:c>
      <x:c r="C39" s="78" t="str">
        <x:v>Sprint 2</x:v>
      </x:c>
      <x:c r="D39" s="78" t="str">
        <x:v>F13</x:v>
      </x:c>
      <x:c r="E39" s="78" t="str">
        <x:v>Termin Management</x:v>
      </x:c>
      <x:c r="F39" s="78" t="str">
        <x:v>Backend</x:v>
      </x:c>
      <x:c r="G39" s="78" t="str">
        <x:v>Membuat tabel termin beserta pemeriksaannya: jumlah seluruh persentase harus tepat seratus, dan termin pertama harus berada di rentang 25 sampai 50 persen sesuai IITBOOK.</x:v>
      </x:c>
      <x:c r="H39" s="78" t="str">
        <x:v>P0 / Must</x:v>
      </x:c>
      <x:c r="I39" s="78" t="str">
        <x:v>Committed</x:v>
      </x:c>
      <x:c r="J39" s="79" t="n">
        <x:v>4</x:v>
      </x:c>
      <x:c r="K39" s="78" t="str">
        <x:v>Dev B</x:v>
      </x:c>
      <x:c r="L39" s="78" t="str">
        <x:v>F05, F24</x:v>
      </x:c>
      <x:c r="M39" s="78" t="str">
        <x:v>Acceptance criteria F13 terpenuhi; test terkait lulus; review dan audit-log check mengikuti DoD.</x:v>
      </x:c>
      <x:c r="N39" s="78" t="str">
        <x:v>UAT-TERM-001 s.d. 003</x:v>
      </x:c>
      <x:c r="O39" s="73" t="str">
        <x:v>PRD IITrack - Revised.docx §4–5; IITrack Project Charter.xlsx / Rincian Fitur</x:v>
      </x:c>
    </x:row>
    <x:row r="40" ht="48" customHeight="1">
      <x:c r="A40" s="72" t="str">
        <x:v>S2-F13-T02</x:v>
      </x:c>
      <x:c r="B40" s="78" t="str">
        <x:v>Task</x:v>
      </x:c>
      <x:c r="C40" s="78" t="str">
        <x:v>Sprint 2</x:v>
      </x:c>
      <x:c r="D40" s="78" t="str">
        <x:v>F13</x:v>
      </x:c>
      <x:c r="E40" s="78" t="str">
        <x:v>Termin Management</x:v>
      </x:c>
      <x:c r="F40" s="78" t="str">
        <x:v>Frontend</x:v>
      </x:c>
      <x:c r="G40" s="78" t="str">
        <x:v>Membuat formulir jadwal termin yang langsung memberi tahu bila jumlah persentasenya belum seratus.</x:v>
      </x:c>
      <x:c r="H40" s="78" t="str">
        <x:v>P0 / Must</x:v>
      </x:c>
      <x:c r="I40" s="78" t="str">
        <x:v>Committed</x:v>
      </x:c>
      <x:c r="J40" s="79" t="n">
        <x:v>3</x:v>
      </x:c>
      <x:c r="K40" s="78" t="str">
        <x:v>Dev B</x:v>
      </x:c>
      <x:c r="L40" s="78" t="str">
        <x:v>F05, F24</x:v>
      </x:c>
      <x:c r="M40" s="78" t="str">
        <x:v>Acceptance criteria F13 terpenuhi; test terkait lulus; review dan audit-log check mengikuti DoD.</x:v>
      </x:c>
      <x:c r="N40" s="78" t="str">
        <x:v>UAT-TERM-001 s.d. 003</x:v>
      </x:c>
      <x:c r="O40" s="73" t="str">
        <x:v>PRD IITrack - Revised.docx §4–5; IITrack Project Charter.xlsx / Rincian Fitur</x:v>
      </x:c>
    </x:row>
    <x:row r="41" ht="48" customHeight="1">
      <x:c r="A41" s="72" t="str">
        <x:v>S2-F15-T01</x:v>
      </x:c>
      <x:c r="B41" s="78" t="str">
        <x:v>Task</x:v>
      </x:c>
      <x:c r="C41" s="78" t="str">
        <x:v>Sprint 2</x:v>
      </x:c>
      <x:c r="D41" s="78" t="str">
        <x:v>F15</x:v>
      </x:c>
      <x:c r="E41" s="78" t="str">
        <x:v>Finance Queue</x:v>
      </x:c>
      <x:c r="F41" s="78" t="str">
        <x:v>Backend</x:v>
      </x:c>
      <x:c r="G41" s="78" t="str">
        <x:v>Menyusun permintaan data antrean beserta perhitungan lama menunggu dalam hari kerja, bukan hari kalender.</x:v>
      </x:c>
      <x:c r="H41" s="78" t="str">
        <x:v>P0 / Must</x:v>
      </x:c>
      <x:c r="I41" s="78" t="str">
        <x:v>Committed</x:v>
      </x:c>
      <x:c r="J41" s="79" t="n">
        <x:v>3</x:v>
      </x:c>
      <x:c r="K41" s="78" t="str">
        <x:v>Dev B</x:v>
      </x:c>
      <x:c r="L41" s="78" t="str">
        <x:v>F13, F16, F17</x:v>
      </x:c>
      <x:c r="M41" s="78" t="str">
        <x:v>Acceptance criteria F15 terpenuhi; test terkait lulus; review dan audit-log check mengikuti DoD.</x:v>
      </x:c>
      <x:c r="N41" s="78" t="str">
        <x:v>UAT-FIN-001, UAT-FIN-002</x:v>
      </x:c>
      <x:c r="O41" s="73" t="str">
        <x:v>PRD IITrack - Revised.docx §4–5; IITrack Project Charter.xlsx / Rincian Fitur</x:v>
      </x:c>
    </x:row>
    <x:row r="42" ht="48" customHeight="1">
      <x:c r="A42" s="72" t="str">
        <x:v>S2-F15-T02</x:v>
      </x:c>
      <x:c r="B42" s="78" t="str">
        <x:v>Task</x:v>
      </x:c>
      <x:c r="C42" s="78" t="str">
        <x:v>Sprint 2</x:v>
      </x:c>
      <x:c r="D42" s="78" t="str">
        <x:v>F15</x:v>
      </x:c>
      <x:c r="E42" s="78" t="str">
        <x:v>Finance Queue</x:v>
      </x:c>
      <x:c r="F42" s="78" t="str">
        <x:v>Frontend</x:v>
      </x:c>
      <x:c r="G42" s="78" t="str">
        <x:v>Membuat halaman antrean beserta penyaring jenis dan status, serta kolom lama menunggu.</x:v>
      </x:c>
      <x:c r="H42" s="78" t="str">
        <x:v>P0 / Must</x:v>
      </x:c>
      <x:c r="I42" s="78" t="str">
        <x:v>Committed</x:v>
      </x:c>
      <x:c r="J42" s="79" t="n">
        <x:v>3</x:v>
      </x:c>
      <x:c r="K42" s="78" t="str">
        <x:v>Dev B</x:v>
      </x:c>
      <x:c r="L42" s="78" t="str">
        <x:v>F13, F16, F17</x:v>
      </x:c>
      <x:c r="M42" s="78" t="str">
        <x:v>Acceptance criteria F15 terpenuhi; test terkait lulus; review dan audit-log check mengikuti DoD.</x:v>
      </x:c>
      <x:c r="N42" s="78" t="str">
        <x:v>UAT-FIN-001, UAT-FIN-002</x:v>
      </x:c>
      <x:c r="O42" s="73" t="str">
        <x:v>PRD IITrack - Revised.docx §4–5; IITrack Project Charter.xlsx / Rincian Fitur</x:v>
      </x:c>
    </x:row>
    <x:row r="43" ht="48" customHeight="1">
      <x:c r="A43" s="72" t="str">
        <x:v>S2-F15-T03</x:v>
      </x:c>
      <x:c r="B43" s="78" t="str">
        <x:v>Task</x:v>
      </x:c>
      <x:c r="C43" s="78" t="str">
        <x:v>Sprint 2</x:v>
      </x:c>
      <x:c r="D43" s="78" t="str">
        <x:v>F15</x:v>
      </x:c>
      <x:c r="E43" s="78" t="str">
        <x:v>Finance Queue</x:v>
      </x:c>
      <x:c r="F43" s="78" t="str">
        <x:v>Design</x:v>
      </x:c>
      <x:c r="G43" s="78" t="str">
        <x:v>Menggambar rancangan halaman antrean dan halaman rincian pengajuan.</x:v>
      </x:c>
      <x:c r="H43" s="78" t="str">
        <x:v>P0 / Must</x:v>
      </x:c>
      <x:c r="I43" s="78" t="str">
        <x:v>Committed</x:v>
      </x:c>
      <x:c r="J43" s="79" t="n">
        <x:v>2</x:v>
      </x:c>
      <x:c r="K43" s="78" t="str">
        <x:v>Dev B</x:v>
      </x:c>
      <x:c r="L43" s="78" t="str">
        <x:v>F13, F16, F17</x:v>
      </x:c>
      <x:c r="M43" s="78" t="str">
        <x:v>Acceptance criteria F15 terpenuhi; test terkait lulus; review dan audit-log check mengikuti DoD.</x:v>
      </x:c>
      <x:c r="N43" s="78" t="str">
        <x:v>UAT-FIN-001, UAT-FIN-002</x:v>
      </x:c>
      <x:c r="O43" s="73" t="str">
        <x:v>PRD IITrack - Revised.docx §4–5; IITrack Project Charter.xlsx / Rincian Fitur</x:v>
      </x:c>
    </x:row>
    <x:row r="44" ht="48" customHeight="1">
      <x:c r="A44" s="72" t="str">
        <x:v>S2-F16-T01</x:v>
      </x:c>
      <x:c r="B44" s="78" t="str">
        <x:v>Task</x:v>
      </x:c>
      <x:c r="C44" s="78" t="str">
        <x:v>Sprint 2</x:v>
      </x:c>
      <x:c r="D44" s="78" t="str">
        <x:v>F16</x:v>
      </x:c>
      <x:c r="E44" s="78" t="str">
        <x:v>Invoice Request</x:v>
      </x:c>
      <x:c r="F44" s="78" t="str">
        <x:v>Backend</x:v>
      </x:c>
      <x:c r="G44" s="78" t="str">
        <x:v>Membuat tabel invoice yang bidangnya terisi sendiri dari data project dan termin, supaya PM tidak mengetik ulang data yang sudah ada.</x:v>
      </x:c>
      <x:c r="H44" s="78" t="str">
        <x:v>P0 / Must</x:v>
      </x:c>
      <x:c r="I44" s="78" t="str">
        <x:v>Committed</x:v>
      </x:c>
      <x:c r="J44" s="79" t="n">
        <x:v>3</x:v>
      </x:c>
      <x:c r="K44" s="78" t="str">
        <x:v>Dev A</x:v>
      </x:c>
      <x:c r="L44" s="78" t="str">
        <x:v>F05, F13, F17</x:v>
      </x:c>
      <x:c r="M44" s="78" t="str">
        <x:v>Acceptance criteria F16 terpenuhi; test terkait lulus; review dan audit-log check mengikuti DoD.</x:v>
      </x:c>
      <x:c r="N44" s="78" t="str">
        <x:v>UAT-INV-001, UAT-INV-002</x:v>
      </x:c>
      <x:c r="O44" s="73" t="str">
        <x:v>PRD IITrack - Revised.docx §4–5; IITrack Project Charter.xlsx / Rincian Fitur</x:v>
      </x:c>
    </x:row>
    <x:row r="45" ht="48" customHeight="1">
      <x:c r="A45" s="72" t="str">
        <x:v>S2-F16-T02</x:v>
      </x:c>
      <x:c r="B45" s="78" t="str">
        <x:v>Task</x:v>
      </x:c>
      <x:c r="C45" s="78" t="str">
        <x:v>Sprint 2</x:v>
      </x:c>
      <x:c r="D45" s="78" t="str">
        <x:v>F16</x:v>
      </x:c>
      <x:c r="E45" s="78" t="str">
        <x:v>Invoice Request</x:v>
      </x:c>
      <x:c r="F45" s="78" t="str">
        <x:v>Backend</x:v>
      </x:c>
      <x:c r="G45" s="78" t="str">
        <x:v>Membuat proses pengajuan invoice untuk satu termin.</x:v>
      </x:c>
      <x:c r="H45" s="78" t="str">
        <x:v>P0 / Must</x:v>
      </x:c>
      <x:c r="I45" s="78" t="str">
        <x:v>Committed</x:v>
      </x:c>
      <x:c r="J45" s="79" t="n">
        <x:v>3</x:v>
      </x:c>
      <x:c r="K45" s="78" t="str">
        <x:v>Dev A</x:v>
      </x:c>
      <x:c r="L45" s="78" t="str">
        <x:v>F05, F13, F17</x:v>
      </x:c>
      <x:c r="M45" s="78" t="str">
        <x:v>Acceptance criteria F16 terpenuhi; test terkait lulus; review dan audit-log check mengikuti DoD.</x:v>
      </x:c>
      <x:c r="N45" s="78" t="str">
        <x:v>UAT-INV-001, UAT-INV-002</x:v>
      </x:c>
      <x:c r="O45" s="73" t="str">
        <x:v>PRD IITrack - Revised.docx §4–5; IITrack Project Charter.xlsx / Rincian Fitur</x:v>
      </x:c>
    </x:row>
    <x:row r="46" ht="48" customHeight="1">
      <x:c r="A46" s="72" t="str">
        <x:v>S2-F16-T03</x:v>
      </x:c>
      <x:c r="B46" s="78" t="str">
        <x:v>Task</x:v>
      </x:c>
      <x:c r="C46" s="78" t="str">
        <x:v>Sprint 2</x:v>
      </x:c>
      <x:c r="D46" s="78" t="str">
        <x:v>F16</x:v>
      </x:c>
      <x:c r="E46" s="78" t="str">
        <x:v>Invoice Request</x:v>
      </x:c>
      <x:c r="F46" s="78" t="str">
        <x:v>Frontend</x:v>
      </x:c>
      <x:c r="G46" s="78" t="str">
        <x:v>Membuat formulir pengajuan invoice yang sebagian besar bidangnya sudah terisi sendiri.</x:v>
      </x:c>
      <x:c r="H46" s="78" t="str">
        <x:v>P0 / Must</x:v>
      </x:c>
      <x:c r="I46" s="78" t="str">
        <x:v>Committed</x:v>
      </x:c>
      <x:c r="J46" s="79" t="n">
        <x:v>3</x:v>
      </x:c>
      <x:c r="K46" s="78" t="str">
        <x:v>Dev B</x:v>
      </x:c>
      <x:c r="L46" s="78" t="str">
        <x:v>F05, F13, F17</x:v>
      </x:c>
      <x:c r="M46" s="78" t="str">
        <x:v>Acceptance criteria F16 terpenuhi; test terkait lulus; review dan audit-log check mengikuti DoD.</x:v>
      </x:c>
      <x:c r="N46" s="78" t="str">
        <x:v>UAT-INV-001, UAT-INV-002</x:v>
      </x:c>
      <x:c r="O46" s="73" t="str">
        <x:v>PRD IITrack - Revised.docx §4–5; IITrack Project Charter.xlsx / Rincian Fitur</x:v>
      </x:c>
    </x:row>
    <x:row r="47" ht="48" customHeight="1">
      <x:c r="A47" s="72" t="str">
        <x:v>S2-F17-T01</x:v>
      </x:c>
      <x:c r="B47" s="78" t="str">
        <x:v>Task</x:v>
      </x:c>
      <x:c r="C47" s="78" t="str">
        <x:v>Sprint 2</x:v>
      </x:c>
      <x:c r="D47" s="78" t="str">
        <x:v>F17</x:v>
      </x:c>
      <x:c r="E47" s="78" t="str">
        <x:v>Regular Approval Workflow</x:v>
      </x:c>
      <x:c r="F47" s="78" t="str">
        <x:v>Backend</x:v>
      </x:c>
      <x:c r="G47" s="78" t="str">
        <x:v>Membuat tabel pengajuan dan tabel langkah persetujuan.</x:v>
      </x:c>
      <x:c r="H47" s="78" t="str">
        <x:v>P0 / Must</x:v>
      </x:c>
      <x:c r="I47" s="78" t="str">
        <x:v>Committed</x:v>
      </x:c>
      <x:c r="J47" s="79" t="n">
        <x:v>3</x:v>
      </x:c>
      <x:c r="K47" s="78" t="str">
        <x:v>Dev A</x:v>
      </x:c>
      <x:c r="L47" s="78" t="str">
        <x:v>F03, F07, F24, DEP-02</x:v>
      </x:c>
      <x:c r="M47" s="78" t="str">
        <x:v>Acceptance criteria F17 terpenuhi; test terkait lulus; review dan audit-log check mengikuti DoD.</x:v>
      </x:c>
      <x:c r="N47" s="78" t="str">
        <x:v>UAT-APR-001 s.d. 004</x:v>
      </x:c>
      <x:c r="O47" s="73" t="str">
        <x:v>PRD IITrack - Revised.docx §4–5; IITrack Project Charter.xlsx / Rincian Fitur</x:v>
      </x:c>
    </x:row>
    <x:row r="48" ht="48" customHeight="1">
      <x:c r="A48" s="72" t="str">
        <x:v>S2-F17-T02</x:v>
      </x:c>
      <x:c r="B48" s="78" t="str">
        <x:v>Task</x:v>
      </x:c>
      <x:c r="C48" s="78" t="str">
        <x:v>Sprint 2</x:v>
      </x:c>
      <x:c r="D48" s="78" t="str">
        <x:v>F17</x:v>
      </x:c>
      <x:c r="E48" s="78" t="str">
        <x:v>Regular Approval Workflow</x:v>
      </x:c>
      <x:c r="F48" s="78" t="str">
        <x:v>Backend</x:v>
      </x:c>
      <x:c r="G48" s="78" t="str">
        <x:v>Menulis penyusun rantai persetujuan yang menentukan siapa saja yang harus menyetujui berdasarkan jenis pengajuan dan jabatan, lengkap dengan pengujiannya.</x:v>
      </x:c>
      <x:c r="H48" s="78" t="str">
        <x:v>P0 / Must</x:v>
      </x:c>
      <x:c r="I48" s="78" t="str">
        <x:v>Committed</x:v>
      </x:c>
      <x:c r="J48" s="79" t="n">
        <x:v>6</x:v>
      </x:c>
      <x:c r="K48" s="78" t="str">
        <x:v>Dev A</x:v>
      </x:c>
      <x:c r="L48" s="78" t="str">
        <x:v>F03, F07, F24, DEP-02</x:v>
      </x:c>
      <x:c r="M48" s="78" t="str">
        <x:v>Acceptance criteria F17 terpenuhi; test terkait lulus; review dan audit-log check mengikuti DoD.</x:v>
      </x:c>
      <x:c r="N48" s="78" t="str">
        <x:v>UAT-APR-001 s.d. 004</x:v>
      </x:c>
      <x:c r="O48" s="73" t="str">
        <x:v>PRD IITrack - Revised.docx §4–5; IITrack Project Charter.xlsx / Rincian Fitur</x:v>
      </x:c>
    </x:row>
    <x:row r="49" ht="48" customHeight="1">
      <x:c r="A49" s="72" t="str">
        <x:v>S2-F17-T03</x:v>
      </x:c>
      <x:c r="B49" s="78" t="str">
        <x:v>Task</x:v>
      </x:c>
      <x:c r="C49" s="78" t="str">
        <x:v>Sprint 2</x:v>
      </x:c>
      <x:c r="D49" s="78" t="str">
        <x:v>F17</x:v>
      </x:c>
      <x:c r="E49" s="78" t="str">
        <x:v>Regular Approval Workflow</x:v>
      </x:c>
      <x:c r="F49" s="78" t="str">
        <x:v>Backend</x:v>
      </x:c>
      <x:c r="G49" s="78" t="str">
        <x:v>Membuat proses menyetujui dan menolak, termasuk kewajiban mengisi alasan penolakan dan pencatatan jejaknya.</x:v>
      </x:c>
      <x:c r="H49" s="78" t="str">
        <x:v>P0 / Must</x:v>
      </x:c>
      <x:c r="I49" s="78" t="str">
        <x:v>Committed</x:v>
      </x:c>
      <x:c r="J49" s="79" t="n">
        <x:v>4</x:v>
      </x:c>
      <x:c r="K49" s="78" t="str">
        <x:v>Dev A</x:v>
      </x:c>
      <x:c r="L49" s="78" t="str">
        <x:v>F03, F07, F24, DEP-02</x:v>
      </x:c>
      <x:c r="M49" s="78" t="str">
        <x:v>Acceptance criteria F17 terpenuhi; test terkait lulus; review dan audit-log check mengikuti DoD.</x:v>
      </x:c>
      <x:c r="N49" s="78" t="str">
        <x:v>UAT-APR-001 s.d. 004</x:v>
      </x:c>
      <x:c r="O49" s="73" t="str">
        <x:v>PRD IITrack - Revised.docx §4–5; IITrack Project Charter.xlsx / Rincian Fitur</x:v>
      </x:c>
    </x:row>
    <x:row r="50" ht="48" customHeight="1">
      <x:c r="A50" s="72" t="str">
        <x:v>S2-F17-T04</x:v>
      </x:c>
      <x:c r="B50" s="78" t="str">
        <x:v>Task</x:v>
      </x:c>
      <x:c r="C50" s="78" t="str">
        <x:v>Sprint 2</x:v>
      </x:c>
      <x:c r="D50" s="78" t="str">
        <x:v>F17</x:v>
      </x:c>
      <x:c r="E50" s="78" t="str">
        <x:v>Regular Approval Workflow</x:v>
      </x:c>
      <x:c r="F50" s="78" t="str">
        <x:v>Frontend</x:v>
      </x:c>
      <x:c r="G50" s="78" t="str">
        <x:v>Membuat halaman rincian pengajuan beserta tombol setuju dan tolak.</x:v>
      </x:c>
      <x:c r="H50" s="78" t="str">
        <x:v>P0 / Must</x:v>
      </x:c>
      <x:c r="I50" s="78" t="str">
        <x:v>Committed</x:v>
      </x:c>
      <x:c r="J50" s="79" t="n">
        <x:v>4</x:v>
      </x:c>
      <x:c r="K50" s="78" t="str">
        <x:v>Dev B</x:v>
      </x:c>
      <x:c r="L50" s="78" t="str">
        <x:v>F03, F07, F24, DEP-02</x:v>
      </x:c>
      <x:c r="M50" s="78" t="str">
        <x:v>Acceptance criteria F17 terpenuhi; test terkait lulus; review dan audit-log check mengikuti DoD.</x:v>
      </x:c>
      <x:c r="N50" s="78" t="str">
        <x:v>UAT-APR-001 s.d. 004</x:v>
      </x:c>
      <x:c r="O50" s="73" t="str">
        <x:v>PRD IITrack - Revised.docx §4–5; IITrack Project Charter.xlsx / Rincian Fitur</x:v>
      </x:c>
    </x:row>
    <x:row r="51" ht="48" customHeight="1">
      <x:c r="A51" s="72" t="str">
        <x:v>S2-F20-T01</x:v>
      </x:c>
      <x:c r="B51" s="78" t="str">
        <x:v>Task</x:v>
      </x:c>
      <x:c r="C51" s="78" t="str">
        <x:v>Sprint 2</x:v>
      </x:c>
      <x:c r="D51" s="78" t="str">
        <x:v>F20</x:v>
      </x:c>
      <x:c r="E51" s="78" t="str">
        <x:v>Receipt / Proof of Transfer</x:v>
      </x:c>
      <x:c r="F51" s="78" t="str">
        <x:v>Backend</x:v>
      </x:c>
      <x:c r="G51" s="78" t="str">
        <x:v>Membuat tabel kuitansi beserta pemeriksaan nilainya terhadap invoice rujukan, sehingga selisih tertangkap sebelum dokumen dikirim ke client.</x:v>
      </x:c>
      <x:c r="H51" s="78" t="str">
        <x:v>P0 / Must</x:v>
      </x:c>
      <x:c r="I51" s="78" t="str">
        <x:v>Committed</x:v>
      </x:c>
      <x:c r="J51" s="79" t="n">
        <x:v>3</x:v>
      </x:c>
      <x:c r="K51" s="78" t="str">
        <x:v>Dev A</x:v>
      </x:c>
      <x:c r="L51" s="78" t="str">
        <x:v>F16, F17, F24</x:v>
      </x:c>
      <x:c r="M51" s="78" t="str">
        <x:v>Acceptance criteria F20 terpenuhi; test terkait lulus; review dan audit-log check mengikuti DoD.</x:v>
      </x:c>
      <x:c r="N51" s="78" t="str">
        <x:v>UAT-RCP-001 s.d. 003, UAT-NFR-007</x:v>
      </x:c>
      <x:c r="O51" s="73" t="str">
        <x:v>PRD IITrack - Revised.docx §4–5; IITrack Project Charter.xlsx / Rincian Fitur</x:v>
      </x:c>
    </x:row>
    <x:row r="52" ht="48" customHeight="1">
      <x:c r="A52" s="72" t="str">
        <x:v>S2-F20-T02</x:v>
      </x:c>
      <x:c r="B52" s="78" t="str">
        <x:v>Task</x:v>
      </x:c>
      <x:c r="C52" s="78" t="str">
        <x:v>Sprint 2</x:v>
      </x:c>
      <x:c r="D52" s="78" t="str">
        <x:v>F20</x:v>
      </x:c>
      <x:c r="E52" s="78" t="str">
        <x:v>Receipt / Proof of Transfer</x:v>
      </x:c>
      <x:c r="F52" s="78" t="str">
        <x:v>Backend</x:v>
      </x:c>
      <x:c r="G52" s="78" t="str">
        <x:v>Menulis penerbit nomor #01 untuk kuitansi dan #02 untuk invoice berbasis nomor project sesuai IITBOOK, lengkap dengan pengujian keunikannya.</x:v>
      </x:c>
      <x:c r="H52" s="78" t="str">
        <x:v>P0 / Must</x:v>
      </x:c>
      <x:c r="I52" s="78" t="str">
        <x:v>Committed</x:v>
      </x:c>
      <x:c r="J52" s="79" t="n">
        <x:v>3</x:v>
      </x:c>
      <x:c r="K52" s="78" t="str">
        <x:v>Dev A</x:v>
      </x:c>
      <x:c r="L52" s="78" t="str">
        <x:v>F16, F17, F24</x:v>
      </x:c>
      <x:c r="M52" s="78" t="str">
        <x:v>Acceptance criteria F20 terpenuhi; test terkait lulus; review dan audit-log check mengikuti DoD.</x:v>
      </x:c>
      <x:c r="N52" s="78" t="str">
        <x:v>UAT-RCP-001 s.d. 003, UAT-NFR-007</x:v>
      </x:c>
      <x:c r="O52" s="73" t="str">
        <x:v>PRD IITrack - Revised.docx §4–5; IITrack Project Charter.xlsx / Rincian Fitur</x:v>
      </x:c>
    </x:row>
    <x:row r="53" ht="48" customHeight="1">
      <x:c r="A53" s="72" t="str">
        <x:v>S2-F20-T03</x:v>
      </x:c>
      <x:c r="B53" s="78" t="str">
        <x:v>Task</x:v>
      </x:c>
      <x:c r="C53" s="78" t="str">
        <x:v>Sprint 2</x:v>
      </x:c>
      <x:c r="D53" s="78" t="str">
        <x:v>F20</x:v>
      </x:c>
      <x:c r="E53" s="78" t="str">
        <x:v>Receipt / Proof of Transfer</x:v>
      </x:c>
      <x:c r="F53" s="78" t="str">
        <x:v>Frontend</x:v>
      </x:c>
      <x:c r="G53" s="78" t="str">
        <x:v>Membuat formulir kuitansi beserta unggahan bukti transfer.</x:v>
      </x:c>
      <x:c r="H53" s="78" t="str">
        <x:v>P0 / Must</x:v>
      </x:c>
      <x:c r="I53" s="78" t="str">
        <x:v>Committed</x:v>
      </x:c>
      <x:c r="J53" s="79" t="n">
        <x:v>3</x:v>
      </x:c>
      <x:c r="K53" s="78" t="str">
        <x:v>Dev B</x:v>
      </x:c>
      <x:c r="L53" s="78" t="str">
        <x:v>F16, F17, F24</x:v>
      </x:c>
      <x:c r="M53" s="78" t="str">
        <x:v>Acceptance criteria F20 terpenuhi; test terkait lulus; review dan audit-log check mengikuti DoD.</x:v>
      </x:c>
      <x:c r="N53" s="78" t="str">
        <x:v>UAT-RCP-001 s.d. 003, UAT-NFR-007</x:v>
      </x:c>
      <x:c r="O53" s="73" t="str">
        <x:v>PRD IITrack - Revised.docx §4–5; IITrack Project Charter.xlsx / Rincian Fitur</x:v>
      </x:c>
    </x:row>
    <x:row r="54" ht="48" customHeight="1">
      <x:c r="A54" s="72" t="str">
        <x:v>S2-X01</x:v>
      </x:c>
      <x:c r="B54" s="78" t="str">
        <x:v>Task</x:v>
      </x:c>
      <x:c r="C54" s="78" t="str">
        <x:v>Sprint 2</x:v>
      </x:c>
      <x:c r="D54" s="78" t="str">
        <x:v>X-CUT</x:v>
      </x:c>
      <x:c r="E54" s="78" t="str">
        <x:v>Finance Integration</x:v>
      </x:c>
      <x:c r="F54" s="78" t="str">
        <x:v>Backend</x:v>
      </x:c>
      <x:c r="G54" s="78" t="str">
        <x:v>Integrate termin, invoice, approval chain, queue, payment proof, receipt, and audit state transitions</x:v>
      </x:c>
      <x:c r="H54" s="78" t="str">
        <x:v>P0 / Must</x:v>
      </x:c>
      <x:c r="I54" s="78" t="str">
        <x:v>Committed</x:v>
      </x:c>
      <x:c r="J54" s="79" t="n">
        <x:v>5</x:v>
      </x:c>
      <x:c r="K54" s="78" t="str">
        <x:v>Dev A</x:v>
      </x:c>
      <x:c r="L54" s="78" t="str">
        <x:v>F13, F15, F16, F17, F20, F24</x:v>
      </x:c>
      <x:c r="M54" s="78" t="str">
        <x:v>Happy and rejection paths persist consistent state and append complete audit evidence.</x:v>
      </x:c>
      <x:c r="N54" s="78" t="str">
        <x:v>UAT-E2E finance path</x:v>
      </x:c>
      <x:c r="O54" s="73" t="str">
        <x:v>PRD §3.3 and §7 Sprint 2</x:v>
      </x:c>
    </x:row>
    <x:row r="55" ht="48" customHeight="1">
      <x:c r="A55" s="72" t="str">
        <x:v>S2-X02</x:v>
      </x:c>
      <x:c r="B55" s="78" t="str">
        <x:v>Task</x:v>
      </x:c>
      <x:c r="C55" s="78" t="str">
        <x:v>Sprint 2</x:v>
      </x:c>
      <x:c r="D55" s="78" t="str">
        <x:v>X-CUT</x:v>
      </x:c>
      <x:c r="E55" s="78" t="str">
        <x:v>Finance Integration</x:v>
      </x:c>
      <x:c r="F55" s="78" t="str">
        <x:v>Frontend</x:v>
      </x:c>
      <x:c r="G55" s="78" t="str">
        <x:v>Integrate finance UI states, validation messages, and permission-aware actions</x:v>
      </x:c>
      <x:c r="H55" s="78" t="str">
        <x:v>P0 / Must</x:v>
      </x:c>
      <x:c r="I55" s="78" t="str">
        <x:v>Committed</x:v>
      </x:c>
      <x:c r="J55" s="79" t="n">
        <x:v>5</x:v>
      </x:c>
      <x:c r="K55" s="78" t="str">
        <x:v>Dev B</x:v>
      </x:c>
      <x:c r="L55" s="78" t="str">
        <x:v>S2-X01</x:v>
      </x:c>
      <x:c r="M55" s="78" t="str">
        <x:v>PM and Finance POC see current approver and waiting time; forbidden actions are absent and rejected server-side.</x:v>
      </x:c>
      <x:c r="N55" s="78" t="str">
        <x:v>UAT-FIN, APR, INV, RCP</x:v>
      </x:c>
      <x:c r="O55" s="73" t="str">
        <x:v>PRD Epic 6–7</x:v>
      </x:c>
    </x:row>
    <x:row r="56" ht="48" customHeight="1">
      <x:c r="A56" s="72" t="str">
        <x:v>S2-X03</x:v>
      </x:c>
      <x:c r="B56" s="78" t="str">
        <x:v>Task</x:v>
      </x:c>
      <x:c r="C56" s="78" t="str">
        <x:v>Sprint 2</x:v>
      </x:c>
      <x:c r="D56" s="78" t="str">
        <x:v>X-CUT</x:v>
      </x:c>
      <x:c r="E56" s="78" t="str">
        <x:v>End-to-End Testing</x:v>
      </x:c>
      <x:c r="F56" s="78" t="str">
        <x:v>QA</x:v>
      </x:c>
      <x:c r="G56" s="78" t="str">
        <x:v>Automate finance vertical-slice happy path and rejection/revision path</x:v>
      </x:c>
      <x:c r="H56" s="78" t="str">
        <x:v>P0 / Must</x:v>
      </x:c>
      <x:c r="I56" s="78" t="str">
        <x:v>Committed</x:v>
      </x:c>
      <x:c r="J56" s="79" t="n">
        <x:v>4</x:v>
      </x:c>
      <x:c r="K56" s="78" t="str">
        <x:v>Dev A</x:v>
      </x:c>
      <x:c r="L56" s="78" t="str">
        <x:v>S2-X01, S2-X02</x:v>
      </x:c>
      <x:c r="M56" s="78" t="str">
        <x:v>Automated E2E covers termin → invoice → approval → payment proof → receipt → paid status plus rejection and correction.</x:v>
      </x:c>
      <x:c r="N56" s="78" t="str">
        <x:v>UAT-E2E committed path</x:v>
      </x:c>
      <x:c r="O56" s="73" t="str">
        <x:v>PRD §5 DoD</x:v>
      </x:c>
    </x:row>
    <x:row r="57" ht="48" customHeight="1">
      <x:c r="A57" s="72" t="str">
        <x:v>S2-X04</x:v>
      </x:c>
      <x:c r="B57" s="78" t="str">
        <x:v>Task</x:v>
      </x:c>
      <x:c r="C57" s="78" t="str">
        <x:v>Sprint 2</x:v>
      </x:c>
      <x:c r="D57" s="78" t="str">
        <x:v>X-CUT</x:v>
      </x:c>
      <x:c r="E57" s="78" t="str">
        <x:v>End-to-End Testing</x:v>
      </x:c>
      <x:c r="F57" s="78" t="str">
        <x:v>QA</x:v>
      </x:c>
      <x:c r="G57" s="78" t="str">
        <x:v>Execute permission, validation, and browser-state regression suite</x:v>
      </x:c>
      <x:c r="H57" s="78" t="str">
        <x:v>P0 / Must</x:v>
      </x:c>
      <x:c r="I57" s="78" t="str">
        <x:v>Committed</x:v>
      </x:c>
      <x:c r="J57" s="79" t="n">
        <x:v>4</x:v>
      </x:c>
      <x:c r="K57" s="78" t="str">
        <x:v>Dev B</x:v>
      </x:c>
      <x:c r="L57" s="78" t="str">
        <x:v>F02, F03, Sprint 2 features</x:v>
      </x:c>
      <x:c r="M57" s="78" t="str">
        <x:v>Unauthorized API calls fail, duplicate invoice requests fail clearly, and logout/back navigation does not reopen internal pages.</x:v>
      </x:c>
      <x:c r="N57" s="78" t="str">
        <x:v>UAT-AUTH-007, NFR-005, INV-002</x:v>
      </x:c>
      <x:c r="O57" s="73" t="str">
        <x:v>PRD §4–5</x:v>
      </x:c>
    </x:row>
    <x:row r="58" ht="48" customHeight="1">
      <x:c r="A58" s="72" t="str">
        <x:v>S2-X05</x:v>
      </x:c>
      <x:c r="B58" s="78" t="str">
        <x:v>Reserve</x:v>
      </x:c>
      <x:c r="C58" s="78" t="str">
        <x:v>Sprint 2</x:v>
      </x:c>
      <x:c r="D58" s="78" t="str">
        <x:v>X-CUT</x:v>
      </x:c>
      <x:c r="E58" s="78" t="str">
        <x:v>Quality Reserve</x:v>
      </x:c>
      <x:c r="F58" s="78" t="str">
        <x:v>Full-stack</x:v>
      </x:c>
      <x:c r="G58" s="78" t="str">
        <x:v>Reserved capacity for integration defects in finance critical path</x:v>
      </x:c>
      <x:c r="H58" s="78" t="str">
        <x:v>P0 / Must</x:v>
      </x:c>
      <x:c r="I58" s="78" t="str">
        <x:v>Committed</x:v>
      </x:c>
      <x:c r="J58" s="79" t="n">
        <x:v>2</x:v>
      </x:c>
      <x:c r="K58" s="78" t="str">
        <x:v>Dev A</x:v>
      </x:c>
      <x:c r="L58" s="78" t="str">
        <x:v>Sprint 2 testing</x:v>
      </x:c>
      <x:c r="M58" s="78" t="str">
        <x:v>Consumed only by P0/P1 defects on committed scope and accompanied by retest evidence.</x:v>
      </x:c>
      <x:c r="N58" s="78" t="str">
        <x:v>As applicable</x:v>
      </x:c>
      <x:c r="O58" s="73" t="str">
        <x:v>PRD §6 risk mitigation</x:v>
      </x:c>
    </x:row>
    <x:row r="59" ht="48" customHeight="1">
      <x:c r="A59" s="72" t="str">
        <x:v>S2-X06</x:v>
      </x:c>
      <x:c r="B59" s="78" t="str">
        <x:v>Reserve</x:v>
      </x:c>
      <x:c r="C59" s="78" t="str">
        <x:v>Sprint 2</x:v>
      </x:c>
      <x:c r="D59" s="78" t="str">
        <x:v>X-CUT</x:v>
      </x:c>
      <x:c r="E59" s="78" t="str">
        <x:v>Quality Reserve</x:v>
      </x:c>
      <x:c r="F59" s="78" t="str">
        <x:v>Full-stack</x:v>
      </x:c>
      <x:c r="G59" s="78" t="str">
        <x:v>Reserved capacity for integration defects in finance critical path</x:v>
      </x:c>
      <x:c r="H59" s="78" t="str">
        <x:v>P0 / Must</x:v>
      </x:c>
      <x:c r="I59" s="78" t="str">
        <x:v>Committed</x:v>
      </x:c>
      <x:c r="J59" s="79" t="n">
        <x:v>2</x:v>
      </x:c>
      <x:c r="K59" s="78" t="str">
        <x:v>Dev B</x:v>
      </x:c>
      <x:c r="L59" s="78" t="str">
        <x:v>Sprint 2 testing</x:v>
      </x:c>
      <x:c r="M59" s="78" t="str">
        <x:v>Consumed only by P0/P1 defects on committed scope and accompanied by retest evidence.</x:v>
      </x:c>
      <x:c r="N59" s="78" t="str">
        <x:v>As applicable</x:v>
      </x:c>
      <x:c r="O59" s="73" t="str">
        <x:v>PRD §6 risk mitigation</x:v>
      </x:c>
    </x:row>
    <x:row r="60" ht="48" customHeight="1">
      <x:c r="A60" s="72" t="str">
        <x:v>S3-F08-T01</x:v>
      </x:c>
      <x:c r="B60" s="78" t="str">
        <x:v>Task</x:v>
      </x:c>
      <x:c r="C60" s="78" t="str">
        <x:v>Sprint 3</x:v>
      </x:c>
      <x:c r="D60" s="78" t="str">
        <x:v>F08</x:v>
      </x:c>
      <x:c r="E60" s="78" t="str">
        <x:v>Project Hub</x:v>
      </x:c>
      <x:c r="F60" s="78" t="str">
        <x:v>Backend</x:v>
      </x:c>
      <x:c r="G60" s="78" t="str">
        <x:v>Menyiapkan satu permintaan data yang mengambil seluruh isi halaman project sekaligus, supaya halaman tidak lambat karena memanggil belasan permintaan terpisah.</x:v>
      </x:c>
      <x:c r="H60" s="78" t="str">
        <x:v>P0 / Must</x:v>
      </x:c>
      <x:c r="I60" s="78" t="str">
        <x:v>Committed</x:v>
      </x:c>
      <x:c r="J60" s="79" t="n">
        <x:v>3</x:v>
      </x:c>
      <x:c r="K60" s="78" t="str">
        <x:v>Dev A</x:v>
      </x:c>
      <x:c r="L60" s="78" t="str">
        <x:v>INF-01, F02, F03</x:v>
      </x:c>
      <x:c r="M60" s="78" t="str">
        <x:v>Acceptance criteria F08 terpenuhi; test terkait lulus; review dan audit-log check mengikuti DoD.</x:v>
      </x:c>
      <x:c r="N60" s="78" t="str">
        <x:v>UAT-HUB-001, UAT-HUB-002</x:v>
      </x:c>
      <x:c r="O60" s="73" t="str">
        <x:v>PRD IITrack - Revised.docx §4–5; IITrack Project Charter.xlsx / Rincian Fitur</x:v>
      </x:c>
    </x:row>
    <x:row r="61" ht="48" customHeight="1">
      <x:c r="A61" s="72" t="str">
        <x:v>S3-F14-T01</x:v>
      </x:c>
      <x:c r="B61" s="78" t="str">
        <x:v>Task</x:v>
      </x:c>
      <x:c r="C61" s="78" t="str">
        <x:v>Sprint 3</x:v>
      </x:c>
      <x:c r="D61" s="78" t="str">
        <x:v>F14</x:v>
      </x:c>
      <x:c r="E61" s="78" t="str">
        <x:v>Staffing Request</x:v>
      </x:c>
      <x:c r="F61" s="78" t="str">
        <x:v>Backend</x:v>
      </x:c>
      <x:c r="G61" s="78" t="str">
        <x:v>Membuat tabel permintaan tenaga programmer beserta stempel waktu pengajuan dan penugasan, supaya lama tanggapan bisa dihitung terhadap SLA.</x:v>
      </x:c>
      <x:c r="H61" s="78" t="str">
        <x:v>P0 / Must</x:v>
      </x:c>
      <x:c r="I61" s="78" t="str">
        <x:v>Committed</x:v>
      </x:c>
      <x:c r="J61" s="79" t="n">
        <x:v>4</x:v>
      </x:c>
      <x:c r="K61" s="78" t="str">
        <x:v>Dev A</x:v>
      </x:c>
      <x:c r="L61" s="78" t="str">
        <x:v>F05, F17, F31</x:v>
      </x:c>
      <x:c r="M61" s="78" t="str">
        <x:v>Acceptance criteria F14 terpenuhi; test terkait lulus; review dan audit-log check mengikuti DoD.</x:v>
      </x:c>
      <x:c r="N61" s="78" t="str">
        <x:v>UAT-SDM-001 s.d. 004</x:v>
      </x:c>
      <x:c r="O61" s="73" t="str">
        <x:v>PRD IITrack - Revised.docx §4–5; IITrack Project Charter.xlsx / Rincian Fitur</x:v>
      </x:c>
    </x:row>
    <x:row r="62" ht="48" customHeight="1">
      <x:c r="A62" s="72" t="str">
        <x:v>S3-F14-T02</x:v>
      </x:c>
      <x:c r="B62" s="78" t="str">
        <x:v>Task</x:v>
      </x:c>
      <x:c r="C62" s="78" t="str">
        <x:v>Sprint 3</x:v>
      </x:c>
      <x:c r="D62" s="78" t="str">
        <x:v>F14</x:v>
      </x:c>
      <x:c r="E62" s="78" t="str">
        <x:v>Staffing Request</x:v>
      </x:c>
      <x:c r="F62" s="78" t="str">
        <x:v>Backend</x:v>
      </x:c>
      <x:c r="G62" s="78" t="str">
        <x:v>Membuat proses pengajuan oleh PM dan penugasan programmer oleh CTO.</x:v>
      </x:c>
      <x:c r="H62" s="78" t="str">
        <x:v>P0 / Must</x:v>
      </x:c>
      <x:c r="I62" s="78" t="str">
        <x:v>Committed</x:v>
      </x:c>
      <x:c r="J62" s="79" t="n">
        <x:v>2</x:v>
      </x:c>
      <x:c r="K62" s="78" t="str">
        <x:v>Dev A</x:v>
      </x:c>
      <x:c r="L62" s="78" t="str">
        <x:v>F05, F17, F31</x:v>
      </x:c>
      <x:c r="M62" s="78" t="str">
        <x:v>Acceptance criteria F14 terpenuhi; test terkait lulus; review dan audit-log check mengikuti DoD.</x:v>
      </x:c>
      <x:c r="N62" s="78" t="str">
        <x:v>UAT-SDM-001 s.d. 004</x:v>
      </x:c>
      <x:c r="O62" s="73" t="str">
        <x:v>PRD IITrack - Revised.docx §4–5; IITrack Project Charter.xlsx / Rincian Fitur</x:v>
      </x:c>
    </x:row>
    <x:row r="63" ht="48" customHeight="1">
      <x:c r="A63" s="72" t="str">
        <x:v>S3-F14-T03</x:v>
      </x:c>
      <x:c r="B63" s="78" t="str">
        <x:v>Task</x:v>
      </x:c>
      <x:c r="C63" s="78" t="str">
        <x:v>Sprint 3</x:v>
      </x:c>
      <x:c r="D63" s="78" t="str">
        <x:v>F14</x:v>
      </x:c>
      <x:c r="E63" s="78" t="str">
        <x:v>Staffing Request</x:v>
      </x:c>
      <x:c r="F63" s="78" t="str">
        <x:v>Frontend</x:v>
      </x:c>
      <x:c r="G63" s="78" t="str">
        <x:v>Membuat formulir permintaan programmer dan halaman penugasan untuk CTO.</x:v>
      </x:c>
      <x:c r="H63" s="78" t="str">
        <x:v>P0 / Must</x:v>
      </x:c>
      <x:c r="I63" s="78" t="str">
        <x:v>Committed</x:v>
      </x:c>
      <x:c r="J63" s="79" t="n">
        <x:v>3</x:v>
      </x:c>
      <x:c r="K63" s="78" t="str">
        <x:v>Dev B</x:v>
      </x:c>
      <x:c r="L63" s="78" t="str">
        <x:v>F05, F17, F31</x:v>
      </x:c>
      <x:c r="M63" s="78" t="str">
        <x:v>Acceptance criteria F14 terpenuhi; test terkait lulus; review dan audit-log check mengikuti DoD.</x:v>
      </x:c>
      <x:c r="N63" s="78" t="str">
        <x:v>UAT-SDM-001 s.d. 004</x:v>
      </x:c>
      <x:c r="O63" s="73" t="str">
        <x:v>PRD IITrack - Revised.docx §4–5; IITrack Project Charter.xlsx / Rincian Fitur</x:v>
      </x:c>
    </x:row>
    <x:row r="64" ht="48" customHeight="1">
      <x:c r="A64" s="72" t="str">
        <x:v>S3-F25-T01</x:v>
      </x:c>
      <x:c r="B64" s="78" t="str">
        <x:v>Task</x:v>
      </x:c>
      <x:c r="C64" s="78" t="str">
        <x:v>Sprint 3</x:v>
      </x:c>
      <x:c r="D64" s="78" t="str">
        <x:v>F25</x:v>
      </x:c>
      <x:c r="E64" s="78" t="str">
        <x:v>External References</x:v>
      </x:c>
      <x:c r="F64" s="78" t="str">
        <x:v>Backend</x:v>
      </x:c>
      <x:c r="G64" s="78" t="str">
        <x:v>Membuat penyimpanan tautan ke berkas dan repository di luar sistem, misalnya Google Drive, Notion, dan GitHub, beserta pemeriksaan bahwa tautannya membuka project yang benar.</x:v>
      </x:c>
      <x:c r="H64" s="78" t="str">
        <x:v>P0 / Must</x:v>
      </x:c>
      <x:c r="I64" s="78" t="str">
        <x:v>Committed</x:v>
      </x:c>
      <x:c r="J64" s="79" t="n">
        <x:v>3</x:v>
      </x:c>
      <x:c r="K64" s="78" t="str">
        <x:v>Dev A</x:v>
      </x:c>
      <x:c r="L64" s="78" t="str">
        <x:v>F05, F14</x:v>
      </x:c>
      <x:c r="M64" s="78" t="str">
        <x:v>Acceptance criteria F25 terpenuhi; test terkait lulus; review dan audit-log check mengikuti DoD.</x:v>
      </x:c>
      <x:c r="N64" s="78" t="str">
        <x:v>UAT-DATA-001, UAT-DATA-002, UAT-HUB-003, UAT-SDM-004</x:v>
      </x:c>
      <x:c r="O64" s="73" t="str">
        <x:v>PRD IITrack - Revised.docx §4–5; IITrack Project Charter.xlsx / Rincian Fitur</x:v>
      </x:c>
    </x:row>
    <x:row r="65" ht="48" customHeight="1">
      <x:c r="A65" s="72" t="str">
        <x:v>S3-F25-T02</x:v>
      </x:c>
      <x:c r="B65" s="78" t="str">
        <x:v>Task</x:v>
      </x:c>
      <x:c r="C65" s="78" t="str">
        <x:v>Sprint 3</x:v>
      </x:c>
      <x:c r="D65" s="78" t="str">
        <x:v>F25</x:v>
      </x:c>
      <x:c r="E65" s="78" t="str">
        <x:v>External References</x:v>
      </x:c>
      <x:c r="F65" s="78" t="str">
        <x:v>Frontend</x:v>
      </x:c>
      <x:c r="G65" s="78" t="str">
        <x:v>Membuat formulir dan daftar tautan rujukan pada halaman project, termasuk repository GitHub milik project.</x:v>
      </x:c>
      <x:c r="H65" s="78" t="str">
        <x:v>P0 / Must</x:v>
      </x:c>
      <x:c r="I65" s="78" t="str">
        <x:v>Committed</x:v>
      </x:c>
      <x:c r="J65" s="79" t="n">
        <x:v>3</x:v>
      </x:c>
      <x:c r="K65" s="78" t="str">
        <x:v>Dev B</x:v>
      </x:c>
      <x:c r="L65" s="78" t="str">
        <x:v>F05, F14</x:v>
      </x:c>
      <x:c r="M65" s="78" t="str">
        <x:v>Acceptance criteria F25 terpenuhi; test terkait lulus; review dan audit-log check mengikuti DoD.</x:v>
      </x:c>
      <x:c r="N65" s="78" t="str">
        <x:v>UAT-DATA-001, UAT-DATA-002, UAT-HUB-003, UAT-SDM-004</x:v>
      </x:c>
      <x:c r="O65" s="73" t="str">
        <x:v>PRD IITrack - Revised.docx §4–5; IITrack Project Charter.xlsx / Rincian Fitur</x:v>
      </x:c>
    </x:row>
    <x:row r="66" ht="48" customHeight="1">
      <x:c r="A66" s="72" t="str">
        <x:v>S3-F31-T01</x:v>
      </x:c>
      <x:c r="B66" s="78" t="str">
        <x:v>Task</x:v>
      </x:c>
      <x:c r="C66" s="78" t="str">
        <x:v>Sprint 3</x:v>
      </x:c>
      <x:c r="D66" s="78" t="str">
        <x:v>F31</x:v>
      </x:c>
      <x:c r="E66" s="78" t="str">
        <x:v>Project Assignment</x:v>
      </x:c>
      <x:c r="F66" s="78" t="str">
        <x:v>Backend</x:v>
      </x:c>
      <x:c r="G66" s="78" t="str">
        <x:v>Membuat tabel penugasan project dan menerapkan hak akses berbasis assignment, sehingga user tetap dapat melihat informasi inti project sesuai kebijakan transparansi, tetapi hanya dapat mengubah atau melakukan action pada domain project yang ditugaskan kepadanya.</x:v>
      </x:c>
      <x:c r="H66" s="78" t="str">
        <x:v>P0 / Must</x:v>
      </x:c>
      <x:c r="I66" s="78" t="str">
        <x:v>Committed</x:v>
      </x:c>
      <x:c r="J66" s="79" t="n">
        <x:v>4</x:v>
      </x:c>
      <x:c r="K66" s="78" t="str">
        <x:v>Dev A</x:v>
      </x:c>
      <x:c r="L66" s="78" t="str">
        <x:v>F03, F05, F07</x:v>
      </x:c>
      <x:c r="M66" s="78" t="str">
        <x:v>Acceptance criteria F31 terpenuhi; test terkait lulus; review dan audit-log check mengikuti DoD.</x:v>
      </x:c>
      <x:c r="N66" s="78" t="str">
        <x:v>UAT-ASSIGN-001 s.d. 007, UAT-E2E-004</x:v>
      </x:c>
      <x:c r="O66" s="73" t="str">
        <x:v>PRD IITrack - Revised.docx §4–5; IITrack Project Charter.xlsx / Rincian Fitur</x:v>
      </x:c>
    </x:row>
    <x:row r="67" ht="48" customHeight="1">
      <x:c r="A67" s="72" t="str">
        <x:v>S3-F31-T02</x:v>
      </x:c>
      <x:c r="B67" s="78" t="str">
        <x:v>Task</x:v>
      </x:c>
      <x:c r="C67" s="78" t="str">
        <x:v>Sprint 3</x:v>
      </x:c>
      <x:c r="D67" s="78" t="str">
        <x:v>F31</x:v>
      </x:c>
      <x:c r="E67" s="78" t="str">
        <x:v>Project Assignment</x:v>
      </x:c>
      <x:c r="F67" s="78" t="str">
        <x:v>Frontend</x:v>
      </x:c>
      <x:c r="G67" s="78" t="str">
        <x:v>Membuat pemilih anggota yang ditugaskan pada halaman project.</x:v>
      </x:c>
      <x:c r="H67" s="78" t="str">
        <x:v>P0 / Must</x:v>
      </x:c>
      <x:c r="I67" s="78" t="str">
        <x:v>Committed</x:v>
      </x:c>
      <x:c r="J67" s="79" t="n">
        <x:v>2</x:v>
      </x:c>
      <x:c r="K67" s="78" t="str">
        <x:v>Dev B</x:v>
      </x:c>
      <x:c r="L67" s="78" t="str">
        <x:v>F03, F05, F07</x:v>
      </x:c>
      <x:c r="M67" s="78" t="str">
        <x:v>Acceptance criteria F31 terpenuhi; test terkait lulus; review dan audit-log check mengikuti DoD.</x:v>
      </x:c>
      <x:c r="N67" s="78" t="str">
        <x:v>UAT-ASSIGN-001 s.d. 007, UAT-E2E-004</x:v>
      </x:c>
      <x:c r="O67" s="73" t="str">
        <x:v>PRD IITrack - Revised.docx §4–5; IITrack Project Charter.xlsx / Rincian Fitur</x:v>
      </x:c>
    </x:row>
    <x:row r="68" ht="48" customHeight="1">
      <x:c r="A68" s="72" t="str">
        <x:v>S3-X01</x:v>
      </x:c>
      <x:c r="B68" s="78" t="str">
        <x:v>Task</x:v>
      </x:c>
      <x:c r="C68" s="78" t="str">
        <x:v>Sprint 3</x:v>
      </x:c>
      <x:c r="D68" s="78" t="str">
        <x:v>X-CUT</x:v>
      </x:c>
      <x:c r="E68" s="78" t="str">
        <x:v>System Integration</x:v>
      </x:c>
      <x:c r="F68" s="78" t="str">
        <x:v>QA</x:v>
      </x:c>
      <x:c r="G68" s="78" t="str">
        <x:v>Run complete Must-Have end-to-end scenarios across Operational, Finance, and TechDev</x:v>
      </x:c>
      <x:c r="H68" s="78" t="str">
        <x:v>P0 / Must</x:v>
      </x:c>
      <x:c r="I68" s="78" t="str">
        <x:v>Committed</x:v>
      </x:c>
      <x:c r="J68" s="79" t="n">
        <x:v>7</x:v>
      </x:c>
      <x:c r="K68" s="78" t="str">
        <x:v>Dev A</x:v>
      </x:c>
      <x:c r="L68" s="78" t="str">
        <x:v>All Must-Have features</x:v>
      </x:c>
      <x:c r="M68" s="78" t="str">
        <x:v>Committed end-to-end scenarios pass with consistent Project ID, permissions, and complete audit trail.</x:v>
      </x:c>
      <x:c r="N68" s="78" t="str">
        <x:v>UAT-E2E-001 and 004</x:v>
      </x:c>
      <x:c r="O68" s="73" t="str">
        <x:v>PRD §5 acceptance and §7 Sprint 3</x:v>
      </x:c>
    </x:row>
    <x:row r="69" ht="48" customHeight="1">
      <x:c r="A69" s="72" t="str">
        <x:v>S3-X02</x:v>
      </x:c>
      <x:c r="B69" s="78" t="str">
        <x:v>Task</x:v>
      </x:c>
      <x:c r="C69" s="78" t="str">
        <x:v>Sprint 3</x:v>
      </x:c>
      <x:c r="D69" s="78" t="str">
        <x:v>X-CUT</x:v>
      </x:c>
      <x:c r="E69" s="78" t="str">
        <x:v>System Integration</x:v>
      </x:c>
      <x:c r="F69" s="78" t="str">
        <x:v>QA</x:v>
      </x:c>
      <x:c r="G69" s="78" t="str">
        <x:v>Run UI regression, usability checks, and 100-project performance test</x:v>
      </x:c>
      <x:c r="H69" s="78" t="str">
        <x:v>P0 / Must</x:v>
      </x:c>
      <x:c r="I69" s="78" t="str">
        <x:v>Committed</x:v>
      </x:c>
      <x:c r="J69" s="79" t="n">
        <x:v>8</x:v>
      </x:c>
      <x:c r="K69" s="78" t="str">
        <x:v>Dev B</x:v>
      </x:c>
      <x:c r="L69" s="78" t="str">
        <x:v>All Must-Have features</x:v>
      </x:c>
      <x:c r="M69" s="78" t="str">
        <x:v>≥80% scripted usability target is ready for UAT; project list loads under three seconds on 100-project dataset.</x:v>
      </x:c>
      <x:c r="N69" s="78" t="str">
        <x:v>UAT-NFR-001, 002, 004</x:v>
      </x:c>
      <x:c r="O69" s="73" t="str">
        <x:v>PRD §5 NFR</x:v>
      </x:c>
    </x:row>
    <x:row r="70" ht="48" customHeight="1">
      <x:c r="A70" s="72" t="str">
        <x:v>S3-X03</x:v>
      </x:c>
      <x:c r="B70" s="78" t="str">
        <x:v>Reserve</x:v>
      </x:c>
      <x:c r="C70" s="78" t="str">
        <x:v>Sprint 3</x:v>
      </x:c>
      <x:c r="D70" s="78" t="str">
        <x:v>X-CUT</x:v>
      </x:c>
      <x:c r="E70" s="78" t="str">
        <x:v>Defect Resolution</x:v>
      </x:c>
      <x:c r="F70" s="78" t="str">
        <x:v>Full-stack</x:v>
      </x:c>
      <x:c r="G70" s="78" t="str">
        <x:v>Resolve and retest backend/security defects from system integration</x:v>
      </x:c>
      <x:c r="H70" s="78" t="str">
        <x:v>P0 / Must</x:v>
      </x:c>
      <x:c r="I70" s="78" t="str">
        <x:v>Committed</x:v>
      </x:c>
      <x:c r="J70" s="79" t="n">
        <x:v>5</x:v>
      </x:c>
      <x:c r="K70" s="78" t="str">
        <x:v>Dev A</x:v>
      </x:c>
      <x:c r="L70" s="78" t="str">
        <x:v>S3-X01</x:v>
      </x:c>
      <x:c r="M70" s="78" t="str">
        <x:v>No Critical defect remains; no High defect blocks the main committed flow; retest evidence attached.</x:v>
      </x:c>
      <x:c r="N70" s="78" t="str">
        <x:v>Acceptance gate</x:v>
      </x:c>
      <x:c r="O70" s="73" t="str">
        <x:v>PRD §5 acceptance; benchmark NoLimit #167</x:v>
      </x:c>
    </x:row>
    <x:row r="71" ht="48" customHeight="1">
      <x:c r="A71" s="72" t="str">
        <x:v>S3-X04</x:v>
      </x:c>
      <x:c r="B71" s="78" t="str">
        <x:v>Reserve</x:v>
      </x:c>
      <x:c r="C71" s="78" t="str">
        <x:v>Sprint 3</x:v>
      </x:c>
      <x:c r="D71" s="78" t="str">
        <x:v>X-CUT</x:v>
      </x:c>
      <x:c r="E71" s="78" t="str">
        <x:v>Defect Resolution</x:v>
      </x:c>
      <x:c r="F71" s="78" t="str">
        <x:v>Full-stack</x:v>
      </x:c>
      <x:c r="G71" s="78" t="str">
        <x:v>Resolve and retest frontend/usability defects from system integration</x:v>
      </x:c>
      <x:c r="H71" s="78" t="str">
        <x:v>P0 / Must</x:v>
      </x:c>
      <x:c r="I71" s="78" t="str">
        <x:v>Committed</x:v>
      </x:c>
      <x:c r="J71" s="79" t="n">
        <x:v>7</x:v>
      </x:c>
      <x:c r="K71" s="78" t="str">
        <x:v>Dev B</x:v>
      </x:c>
      <x:c r="L71" s="78" t="str">
        <x:v>S3-X02</x:v>
      </x:c>
      <x:c r="M71" s="78" t="str">
        <x:v>No Critical defect remains; no High defect blocks the main committed flow; retest evidence attached.</x:v>
      </x:c>
      <x:c r="N71" s="78" t="str">
        <x:v>Acceptance gate</x:v>
      </x:c>
      <x:c r="O71" s="73" t="str">
        <x:v>PRD §5 acceptance; benchmark NoLimit #167</x:v>
      </x:c>
    </x:row>
    <x:row r="72" ht="48" customHeight="1">
      <x:c r="A72" s="72" t="str">
        <x:v>S3-X05</x:v>
      </x:c>
      <x:c r="B72" s="78" t="str">
        <x:v>Task</x:v>
      </x:c>
      <x:c r="C72" s="78" t="str">
        <x:v>Sprint 3</x:v>
      </x:c>
      <x:c r="D72" s="78" t="str">
        <x:v>X-CUT</x:v>
      </x:c>
      <x:c r="E72" s="78" t="str">
        <x:v>UAT Readiness</x:v>
      </x:c>
      <x:c r="F72" s="78" t="str">
        <x:v>QA</x:v>
      </x:c>
      <x:c r="G72" s="78" t="str">
        <x:v>Finalize test accounts, seed data, RTM execution scope, and evidence folders</x:v>
      </x:c>
      <x:c r="H72" s="78" t="str">
        <x:v>P0 / Must</x:v>
      </x:c>
      <x:c r="I72" s="78" t="str">
        <x:v>Committed</x:v>
      </x:c>
      <x:c r="J72" s="79" t="n">
        <x:v>3</x:v>
      </x:c>
      <x:c r="K72" s="78" t="str">
        <x:v>Dev A</x:v>
      </x:c>
      <x:c r="L72" s="78" t="str">
        <x:v>DEP-02, DEP-05, DEP-06</x:v>
      </x:c>
      <x:c r="M72" s="78" t="str">
        <x:v>All Must-Have tests marked Run; deferred non-Must tests marked Not Run – Deferred by Scope; evidence locations are ready.</x:v>
      </x:c>
      <x:c r="N72" s="78" t="str">
        <x:v>All committed UAT</x:v>
      </x:c>
      <x:c r="O72" s="73" t="str">
        <x:v>PRD Appendix B; benchmark NoLimit #163–166</x:v>
      </x:c>
    </x:row>
    <x:row r="73" ht="48" customHeight="1">
      <x:c r="A73" s="72" t="str">
        <x:v>S3-X06</x:v>
      </x:c>
      <x:c r="B73" s="78" t="str">
        <x:v>Task</x:v>
      </x:c>
      <x:c r="C73" s="78" t="str">
        <x:v>Sprint 3</x:v>
      </x:c>
      <x:c r="D73" s="78" t="str">
        <x:v>X-CUT</x:v>
      </x:c>
      <x:c r="E73" s="78" t="str">
        <x:v>UAT Readiness</x:v>
      </x:c>
      <x:c r="F73" s="78" t="str">
        <x:v>QA</x:v>
      </x:c>
      <x:c r="G73" s="78" t="str">
        <x:v>Prepare UAT walkthrough, tester instructions, and triage board</x:v>
      </x:c>
      <x:c r="H73" s="78" t="str">
        <x:v>P0 / Must</x:v>
      </x:c>
      <x:c r="I73" s="78" t="str">
        <x:v>Committed</x:v>
      </x:c>
      <x:c r="J73" s="79" t="n">
        <x:v>5</x:v>
      </x:c>
      <x:c r="K73" s="78" t="str">
        <x:v>Dev B</x:v>
      </x:c>
      <x:c r="L73" s="78" t="str">
        <x:v>DEP-05, DEP-06</x:v>
      </x:c>
      <x:c r="M73" s="78" t="str">
        <x:v>Participants, scenarios, evidence format, severity, owner, and sign-off flow are documented.</x:v>
      </x:c>
      <x:c r="N73" s="78" t="str">
        <x:v>UAT coordination</x:v>
      </x:c>
      <x:c r="O73" s="73" t="str">
        <x:v>PRD §7; benchmark NoLimit #11 and #166</x:v>
      </x:c>
    </x:row>
    <x:row r="74" ht="48" customHeight="1">
      <x:c r="A74" s="72" t="str">
        <x:v>S3-X07</x:v>
      </x:c>
      <x:c r="B74" s="78" t="str">
        <x:v>Task</x:v>
      </x:c>
      <x:c r="C74" s="78" t="str">
        <x:v>Sprint 3</x:v>
      </x:c>
      <x:c r="D74" s="78" t="str">
        <x:v>X-CUT</x:v>
      </x:c>
      <x:c r="E74" s="78" t="str">
        <x:v>Technical Handover</x:v>
      </x:c>
      <x:c r="F74" s="78" t="str">
        <x:v>Documentation</x:v>
      </x:c>
      <x:c r="G74" s="78" t="str">
        <x:v>Document architecture, setup, environment variables, migrations, testing, and troubleshooting</x:v>
      </x:c>
      <x:c r="H74" s="78" t="str">
        <x:v>P0 / Must</x:v>
      </x:c>
      <x:c r="I74" s="78" t="str">
        <x:v>Committed</x:v>
      </x:c>
      <x:c r="J74" s="79" t="n">
        <x:v>3</x:v>
      </x:c>
      <x:c r="K74" s="78" t="str">
        <x:v>Dev A</x:v>
      </x:c>
      <x:c r="L74" s="78" t="str">
        <x:v>All Must-Have features</x:v>
      </x:c>
      <x:c r="M74" s="78" t="str">
        <x:v>Developer baru dapat run lokal &lt;30 menit; no secret appears in docs; ownership and escalation are clear.</x:v>
      </x:c>
      <x:c r="N74" s="78" t="str">
        <x:v>PRD maintainability NFR</x:v>
      </x:c>
      <x:c r="O74" s="73" t="str">
        <x:v>PRD §5; benchmark NoLimit #176</x:v>
      </x:c>
    </x:row>
    <x:row r="75" ht="48" customHeight="1">
      <x:c r="A75" s="72" t="str">
        <x:v>S3-X08</x:v>
      </x:c>
      <x:c r="B75" s="78" t="str">
        <x:v>Task</x:v>
      </x:c>
      <x:c r="C75" s="78" t="str">
        <x:v>Sprint 3</x:v>
      </x:c>
      <x:c r="D75" s="78" t="str">
        <x:v>X-CUT</x:v>
      </x:c>
      <x:c r="E75" s="78" t="str">
        <x:v>Technical Handover</x:v>
      </x:c>
      <x:c r="F75" s="78" t="str">
        <x:v>Documentation</x:v>
      </x:c>
      <x:c r="G75" s="78" t="str">
        <x:v>Prepare user guide, known limitations, deferred-scope list, and BAST evidence index</x:v>
      </x:c>
      <x:c r="H75" s="78" t="str">
        <x:v>P0 / Must</x:v>
      </x:c>
      <x:c r="I75" s="78" t="str">
        <x:v>Committed</x:v>
      </x:c>
      <x:c r="J75" s="79" t="n">
        <x:v>3</x:v>
      </x:c>
      <x:c r="K75" s="78" t="str">
        <x:v>Dev B</x:v>
      </x:c>
      <x:c r="L75" s="78" t="str">
        <x:v>Final scope decision</x:v>
      </x:c>
      <x:c r="M75" s="78" t="str">
        <x:v>Manual covers committed workflows; deferred features and workarounds match PRD Appendix A; evidence is traceable.</x:v>
      </x:c>
      <x:c r="N75" s="78" t="str">
        <x:v>Handover/BAST</x:v>
      </x:c>
      <x:c r="O75" s="73" t="str">
        <x:v>PRD Appendix A; benchmark NoLimit #175</x:v>
      </x:c>
    </x:row>
    <x:row r="76" ht="48" customHeight="1">
      <x:c r="A76" s="72" t="str">
        <x:v>S3-X09</x:v>
      </x:c>
      <x:c r="B76" s="78" t="str">
        <x:v>Reserve</x:v>
      </x:c>
      <x:c r="C76" s="78" t="str">
        <x:v>Sprint 3</x:v>
      </x:c>
      <x:c r="D76" s="78" t="str">
        <x:v>X-CUT</x:v>
      </x:c>
      <x:c r="E76" s="78" t="str">
        <x:v>UAT Support Reserve</x:v>
      </x:c>
      <x:c r="F76" s="78" t="str">
        <x:v>Full-stack</x:v>
      </x:c>
      <x:c r="G76" s="78" t="str">
        <x:v>Reserved backend capacity for UAT triage and in-scope retest during 15–17 October</x:v>
      </x:c>
      <x:c r="H76" s="78" t="str">
        <x:v>P0 / Must</x:v>
      </x:c>
      <x:c r="I76" s="78" t="str">
        <x:v>Committed</x:v>
      </x:c>
      <x:c r="J76" s="79" t="n">
        <x:v>2</x:v>
      </x:c>
      <x:c r="K76" s="78" t="str">
        <x:v>Dev A</x:v>
      </x:c>
      <x:c r="L76" s="78" t="str">
        <x:v>UAT findings</x:v>
      </x:c>
      <x:c r="M76" s="78" t="str">
        <x:v>Only in-scope findings are fixed; each fix has reproduction, PR, and retest evidence.</x:v>
      </x:c>
      <x:c r="N76" s="78" t="str">
        <x:v>UAT findings</x:v>
      </x:c>
      <x:c r="O76" s="73" t="str">
        <x:v>PRD §7; benchmark NoLimit #167</x:v>
      </x:c>
    </x:row>
    <x:row r="77" ht="48" customHeight="1">
      <x:c r="A77" s="74" t="str">
        <x:v>S3-X10</x:v>
      </x:c>
      <x:c r="B77" s="80" t="str">
        <x:v>Reserve</x:v>
      </x:c>
      <x:c r="C77" s="80" t="str">
        <x:v>Sprint 3</x:v>
      </x:c>
      <x:c r="D77" s="80" t="str">
        <x:v>X-CUT</x:v>
      </x:c>
      <x:c r="E77" s="80" t="str">
        <x:v>UAT Support Reserve</x:v>
      </x:c>
      <x:c r="F77" s="80" t="str">
        <x:v>Full-stack</x:v>
      </x:c>
      <x:c r="G77" s="80" t="str">
        <x:v>Reserved frontend capacity for UAT triage and in-scope retest during 15–17 October</x:v>
      </x:c>
      <x:c r="H77" s="80" t="str">
        <x:v>P0 / Must</x:v>
      </x:c>
      <x:c r="I77" s="80" t="str">
        <x:v>Committed</x:v>
      </x:c>
      <x:c r="J77" s="81" t="n">
        <x:v>5</x:v>
      </x:c>
      <x:c r="K77" s="80" t="str">
        <x:v>Dev B</x:v>
      </x:c>
      <x:c r="L77" s="80" t="str">
        <x:v>UAT findings</x:v>
      </x:c>
      <x:c r="M77" s="80" t="str">
        <x:v>Only in-scope findings are fixed; each fix has reproduction, PR, and retest evidence.</x:v>
      </x:c>
      <x:c r="N77" s="80" t="str">
        <x:v>UAT findings</x:v>
      </x:c>
      <x:c r="O77" s="75" t="str">
        <x:v>PRD §7; benchmark NoLimit #167</x:v>
      </x:c>
    </x:row>
  </x:sheetData>
  <x:mergeCells>
    <x:mergeCell ref="A1:O1"/>
    <x:mergeCell ref="A2:O2"/>
  </x:mergeCells>
  <x:dataValidations count="3">
    <x:dataValidation type="list" sqref="B5:B77">
      <x:formula1>"Task,Reserve,Dependency,Bug"</x:formula1>
    </x:dataValidation>
    <x:dataValidation type="list" sqref="I5:I77">
      <x:formula1>"Committed,Stretch,Deferred"</x:formula1>
    </x:dataValidation>
    <x:dataValidation type="list" sqref="K5:K77">
      <x:formula1>"Dev A,Dev B,PM,C-Level,DevOps IIT,TBD"</x:formula1>
    </x:dataValidation>
  </x:dataValidations>
  <x:pageMargins left="0.7" right="0.7" top="0.75" bottom="0.75" header="0.3" footer="0.3"/>
  <x:tableParts count="1">
    <x:tablePart xmlns:r="http://schemas.openxmlformats.org/officeDocument/2006/relationships" r:id="Rb5a027f5ee2243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14" hidden="0" customWidth="1"/>
    <x:col min="4" max="4" width="14" hidden="0" customWidth="1"/>
    <x:col min="5" max="5" width="14" hidden="0" customWidth="1"/>
    <x:col min="6" max="6" width="14" hidden="0" customWidth="1"/>
    <x:col min="7" max="7" width="16" hidden="0" customWidth="1"/>
    <x:col min="8" max="8" width="16" hidden="0" customWidth="1"/>
    <x:col min="9" max="9" width="20" hidden="0" customWidth="1"/>
    <x:col min="10" max="10" width="46" hidden="0" customWidth="1"/>
  </x:cols>
  <x:sheetData>
    <x:row r="1" ht="30" customHeight="1">
      <x:c r="A1" s="66" t="str">
        <x:v>Capacity &amp; Reforecast</x:v>
      </x:c>
      <x:c r="B1" s="66" t="str">
        <x:v>Capacity &amp; Reforecast</x:v>
      </x:c>
      <x:c r="C1" s="66" t="str">
        <x:v>Capacity &amp; Reforecast</x:v>
      </x:c>
      <x:c r="D1" s="66" t="str">
        <x:v>Capacity &amp; Reforecast</x:v>
      </x:c>
      <x:c r="E1" s="66" t="str">
        <x:v>Capacity &amp; Reforecast</x:v>
      </x:c>
      <x:c r="F1" s="66" t="str">
        <x:v>Capacity &amp; Reforecast</x:v>
      </x:c>
      <x:c r="G1" s="66" t="str">
        <x:v>Capacity &amp; Reforecast</x:v>
      </x:c>
      <x:c r="H1" s="66" t="str">
        <x:v>Capacity &amp; Reforecast</x:v>
      </x:c>
      <x:c r="I1" s="66" t="str">
        <x:v>Capacity &amp; Reforecast</x:v>
      </x:c>
      <x:c r="J1" s="66" t="str">
        <x:v>Capacity &amp; Reforecast</x:v>
      </x:c>
    </x:row>
    <x:row r="2" ht="26" customHeight="1">
      <x:c r="A2" s="67" t="str">
        <x:v>Formula-driven capacity guardrail; update Actual h and Status during execution</x:v>
      </x:c>
      <x:c r="B2" s="67" t="str">
        <x:v>Formula-driven capacity guardrail; update Actual h and Status during execution</x:v>
      </x:c>
      <x:c r="C2" s="67" t="str">
        <x:v>Formula-driven capacity guardrail; update Actual h and Status during execution</x:v>
      </x:c>
      <x:c r="D2" s="67" t="str">
        <x:v>Formula-driven capacity guardrail; update Actual h and Status during execution</x:v>
      </x:c>
      <x:c r="E2" s="67" t="str">
        <x:v>Formula-driven capacity guardrail; update Actual h and Status during execution</x:v>
      </x:c>
      <x:c r="F2" s="67" t="str">
        <x:v>Formula-driven capacity guardrail; update Actual h and Status during execution</x:v>
      </x:c>
      <x:c r="G2" s="67" t="str">
        <x:v>Formula-driven capacity guardrail; update Actual h and Status during execution</x:v>
      </x:c>
      <x:c r="H2" s="67" t="str">
        <x:v>Formula-driven capacity guardrail; update Actual h and Status during execution</x:v>
      </x:c>
      <x:c r="I2" s="67" t="str">
        <x:v>Formula-driven capacity guardrail; update Actual h and Status during execution</x:v>
      </x:c>
      <x:c r="J2" s="67" t="str">
        <x:v>Formula-driven capacity guardrail; update Actual h and Status during execution</x:v>
      </x:c>
    </x:row>
    <x:row r="3">
      <x:c r="A3" s="68"/>
      <x:c r="B3" s="68"/>
      <x:c r="C3" s="68"/>
      <x:c r="D3" s="68"/>
      <x:c r="E3" s="68"/>
      <x:c r="F3" s="68"/>
      <x:c r="G3" s="68"/>
      <x:c r="H3" s="68"/>
      <x:c r="I3" s="68"/>
      <x:c r="J3" s="68"/>
    </x:row>
    <x:row r="4" ht="28" customHeight="1">
      <x:c r="A4" s="69" t="str">
        <x:v>Sprint</x:v>
      </x:c>
      <x:c r="B4" s="69" t="str">
        <x:v>Owner</x:v>
      </x:c>
      <x:c r="C4" s="69" t="str">
        <x:v>Capacity h</x:v>
      </x:c>
      <x:c r="D4" s="69" t="str">
        <x:v>Planned h</x:v>
      </x:c>
      <x:c r="E4" s="69" t="str">
        <x:v>Actual h</x:v>
      </x:c>
      <x:c r="F4" s="69" t="str">
        <x:v>Variance h</x:v>
      </x:c>
      <x:c r="G4" s="69" t="str">
        <x:v>Completed h</x:v>
      </x:c>
      <x:c r="H4" s="69" t="str">
        <x:v>Completion %</x:v>
      </x:c>
      <x:c r="I4" s="69" t="str">
        <x:v>Forecast status</x:v>
      </x:c>
      <x:c r="J4" s="69" t="str">
        <x:v>PM action</x:v>
      </x:c>
    </x:row>
    <x:row r="5">
      <x:c r="A5" s="70" t="str">
        <x:v>Sprint 0</x:v>
      </x:c>
      <x:c r="B5" s="76" t="str">
        <x:v>Dev A</x:v>
      </x:c>
      <x:c r="C5" s="136" t="n">
        <x:v>18</x:v>
      </x:c>
      <x:c r="D5" s="77" t="n">
        <x:f>SUMIFS('Sprint Backlog'!$J$5:$J$200,'Sprint Backlog'!$C$5:$C$200,A5,'Sprint Backlog'!$K$5:$K$200,B5,'Sprint Backlog'!$I$5:$I$200,"Committed")</x:f>
        <x:v>18</x:v>
      </x:c>
      <x:c r="E5" s="115" t="n">
        <x:v>0</x:v>
      </x:c>
      <x:c r="F5" s="77" t="n">
        <x:f>C5-E5</x:f>
        <x:v>18</x:v>
      </x:c>
      <x:c r="G5" s="115" t="n">
        <x:v>0</x:v>
      </x:c>
      <x:c r="H5" s="116" t="n">
        <x:f>IF(D5=0,0,G5/D5)</x:f>
        <x:v>0</x:v>
      </x:c>
      <x:c r="I5" s="76" t="str">
        <x:f>IF(E5=0,"Not started",IF(E5&lt;=C5,"Within capacity","Over capacity"))</x:f>
        <x:v>Not started</x:v>
      </x:c>
      <x:c r="J5" s="71" t="str">
        <x:f>IF(I5="Over capacity","Remove stretch / escalate change control",IF(H5&gt;=0.9,"Eligible for stretch review","Protect committed scope"))</x:f>
        <x:v>Protect committed scope</x:v>
      </x:c>
    </x:row>
    <x:row r="6">
      <x:c r="A6" s="72" t="str">
        <x:v>Sprint 0</x:v>
      </x:c>
      <x:c r="B6" s="78" t="str">
        <x:v>Dev B</x:v>
      </x:c>
      <x:c r="C6" s="137" t="n">
        <x:v>18</x:v>
      </x:c>
      <x:c r="D6" s="79" t="n">
        <x:f>SUMIFS('Sprint Backlog'!$J$5:$J$200,'Sprint Backlog'!$C$5:$C$200,A6,'Sprint Backlog'!$K$5:$K$200,B6,'Sprint Backlog'!$I$5:$I$200,"Committed")</x:f>
        <x:v>18</x:v>
      </x:c>
      <x:c r="E6" s="117" t="n">
        <x:v>0</x:v>
      </x:c>
      <x:c r="F6" s="79" t="n">
        <x:f>C6-E6</x:f>
        <x:v>18</x:v>
      </x:c>
      <x:c r="G6" s="117" t="n">
        <x:v>0</x:v>
      </x:c>
      <x:c r="H6" s="118" t="n">
        <x:f>IF(D6=0,0,G6/D6)</x:f>
        <x:v>0</x:v>
      </x:c>
      <x:c r="I6" s="78" t="str">
        <x:f>IF(E6=0,"Not started",IF(E6&lt;=C6,"Within capacity","Over capacity"))</x:f>
        <x:v>Not started</x:v>
      </x:c>
      <x:c r="J6" s="73" t="str">
        <x:f>IF(I6="Over capacity","Remove stretch / escalate change control",IF(H6&gt;=0.9,"Eligible for stretch review","Protect committed scope"))</x:f>
        <x:v>Protect committed scope</x:v>
      </x:c>
    </x:row>
    <x:row r="7">
      <x:c r="A7" s="72" t="str">
        <x:v>Sprint 1</x:v>
      </x:c>
      <x:c r="B7" s="78" t="str">
        <x:v>Dev A</x:v>
      </x:c>
      <x:c r="C7" s="137" t="n">
        <x:v>36</x:v>
      </x:c>
      <x:c r="D7" s="79" t="n">
        <x:f>SUMIFS('Sprint Backlog'!$J$5:$J$200,'Sprint Backlog'!$C$5:$C$200,A7,'Sprint Backlog'!$K$5:$K$200,B7,'Sprint Backlog'!$I$5:$I$200,"Committed")</x:f>
        <x:v>30</x:v>
      </x:c>
      <x:c r="E7" s="117" t="n">
        <x:v>0</x:v>
      </x:c>
      <x:c r="F7" s="79" t="n">
        <x:f>C7-E7</x:f>
        <x:v>36</x:v>
      </x:c>
      <x:c r="G7" s="117" t="n">
        <x:v>0</x:v>
      </x:c>
      <x:c r="H7" s="118" t="n">
        <x:f>IF(D7=0,0,G7/D7)</x:f>
        <x:v>0</x:v>
      </x:c>
      <x:c r="I7" s="78" t="str">
        <x:f>IF(E7=0,"Not started",IF(E7&lt;=C7,"Within capacity","Over capacity"))</x:f>
        <x:v>Not started</x:v>
      </x:c>
      <x:c r="J7" s="73" t="str">
        <x:f>IF(I7="Over capacity","Remove stretch / escalate change control",IF(H7&gt;=0.9,"Eligible for stretch review","Protect committed scope"))</x:f>
        <x:v>Protect committed scope</x:v>
      </x:c>
    </x:row>
    <x:row r="8">
      <x:c r="A8" s="72" t="str">
        <x:v>Sprint 1</x:v>
      </x:c>
      <x:c r="B8" s="78" t="str">
        <x:v>Dev B</x:v>
      </x:c>
      <x:c r="C8" s="137" t="n">
        <x:v>36</x:v>
      </x:c>
      <x:c r="D8" s="79" t="n">
        <x:f>SUMIFS('Sprint Backlog'!$J$5:$J$200,'Sprint Backlog'!$C$5:$C$200,A8,'Sprint Backlog'!$K$5:$K$200,B8,'Sprint Backlog'!$I$5:$I$200,"Committed")</x:f>
        <x:v>30</x:v>
      </x:c>
      <x:c r="E8" s="117" t="n">
        <x:v>0</x:v>
      </x:c>
      <x:c r="F8" s="79" t="n">
        <x:f>C8-E8</x:f>
        <x:v>36</x:v>
      </x:c>
      <x:c r="G8" s="117" t="n">
        <x:v>0</x:v>
      </x:c>
      <x:c r="H8" s="118" t="n">
        <x:f>IF(D8=0,0,G8/D8)</x:f>
        <x:v>0</x:v>
      </x:c>
      <x:c r="I8" s="78" t="str">
        <x:f>IF(E8=0,"Not started",IF(E8&lt;=C8,"Within capacity","Over capacity"))</x:f>
        <x:v>Not started</x:v>
      </x:c>
      <x:c r="J8" s="73" t="str">
        <x:f>IF(I8="Over capacity","Remove stretch / escalate change control",IF(H8&gt;=0.9,"Eligible for stretch review","Protect committed scope"))</x:f>
        <x:v>Protect committed scope</x:v>
      </x:c>
    </x:row>
    <x:row r="9">
      <x:c r="A9" s="72" t="str">
        <x:v>Sprint 2</x:v>
      </x:c>
      <x:c r="B9" s="78" t="str">
        <x:v>Dev A</x:v>
      </x:c>
      <x:c r="C9" s="137" t="n">
        <x:v>36</x:v>
      </x:c>
      <x:c r="D9" s="79" t="n">
        <x:f>SUMIFS('Sprint Backlog'!$J$5:$J$200,'Sprint Backlog'!$C$5:$C$200,A9,'Sprint Backlog'!$K$5:$K$200,B9,'Sprint Backlog'!$I$5:$I$200,"Committed")</x:f>
        <x:v>36</x:v>
      </x:c>
      <x:c r="E9" s="117" t="n">
        <x:v>0</x:v>
      </x:c>
      <x:c r="F9" s="79" t="n">
        <x:f>C9-E9</x:f>
        <x:v>36</x:v>
      </x:c>
      <x:c r="G9" s="117" t="n">
        <x:v>0</x:v>
      </x:c>
      <x:c r="H9" s="118" t="n">
        <x:f>IF(D9=0,0,G9/D9)</x:f>
        <x:v>0</x:v>
      </x:c>
      <x:c r="I9" s="78" t="str">
        <x:f>IF(E9=0,"Not started",IF(E9&lt;=C9,"Within capacity","Over capacity"))</x:f>
        <x:v>Not started</x:v>
      </x:c>
      <x:c r="J9" s="73" t="str">
        <x:f>IF(I9="Over capacity","Remove stretch / escalate change control",IF(H9&gt;=0.9,"Eligible for stretch review","Protect committed scope"))</x:f>
        <x:v>Protect committed scope</x:v>
      </x:c>
    </x:row>
    <x:row r="10">
      <x:c r="A10" s="72" t="str">
        <x:v>Sprint 2</x:v>
      </x:c>
      <x:c r="B10" s="78" t="str">
        <x:v>Dev B</x:v>
      </x:c>
      <x:c r="C10" s="137" t="n">
        <x:v>36</x:v>
      </x:c>
      <x:c r="D10" s="79" t="n">
        <x:f>SUMIFS('Sprint Backlog'!$J$5:$J$200,'Sprint Backlog'!$C$5:$C$200,A10,'Sprint Backlog'!$K$5:$K$200,B10,'Sprint Backlog'!$I$5:$I$200,"Committed")</x:f>
        <x:v>36</x:v>
      </x:c>
      <x:c r="E10" s="117" t="n">
        <x:v>0</x:v>
      </x:c>
      <x:c r="F10" s="79" t="n">
        <x:f>C10-E10</x:f>
        <x:v>36</x:v>
      </x:c>
      <x:c r="G10" s="117" t="n">
        <x:v>0</x:v>
      </x:c>
      <x:c r="H10" s="118" t="n">
        <x:f>IF(D10=0,0,G10/D10)</x:f>
        <x:v>0</x:v>
      </x:c>
      <x:c r="I10" s="78" t="str">
        <x:f>IF(E10=0,"Not started",IF(E10&lt;=C10,"Within capacity","Over capacity"))</x:f>
        <x:v>Not started</x:v>
      </x:c>
      <x:c r="J10" s="73" t="str">
        <x:f>IF(I10="Over capacity","Remove stretch / escalate change control",IF(H10&gt;=0.9,"Eligible for stretch review","Protect committed scope"))</x:f>
        <x:v>Protect committed scope</x:v>
      </x:c>
    </x:row>
    <x:row r="11">
      <x:c r="A11" s="72" t="str">
        <x:v>Sprint 3</x:v>
      </x:c>
      <x:c r="B11" s="78" t="str">
        <x:v>Dev A</x:v>
      </x:c>
      <x:c r="C11" s="137" t="n">
        <x:v>36</x:v>
      </x:c>
      <x:c r="D11" s="79" t="n">
        <x:f>SUMIFS('Sprint Backlog'!$J$5:$J$200,'Sprint Backlog'!$C$5:$C$200,A11,'Sprint Backlog'!$K$5:$K$200,B11,'Sprint Backlog'!$I$5:$I$200,"Committed")</x:f>
        <x:v>36</x:v>
      </x:c>
      <x:c r="E11" s="117" t="n">
        <x:v>0</x:v>
      </x:c>
      <x:c r="F11" s="79" t="n">
        <x:f>C11-E11</x:f>
        <x:v>36</x:v>
      </x:c>
      <x:c r="G11" s="117" t="n">
        <x:v>0</x:v>
      </x:c>
      <x:c r="H11" s="118" t="n">
        <x:f>IF(D11=0,0,G11/D11)</x:f>
        <x:v>0</x:v>
      </x:c>
      <x:c r="I11" s="78" t="str">
        <x:f>IF(E11=0,"Not started",IF(E11&lt;=C11,"Within capacity","Over capacity"))</x:f>
        <x:v>Not started</x:v>
      </x:c>
      <x:c r="J11" s="73" t="str">
        <x:f>IF(I11="Over capacity","Remove stretch / escalate change control",IF(H11&gt;=0.9,"Eligible for stretch review","Protect committed scope"))</x:f>
        <x:v>Protect committed scope</x:v>
      </x:c>
    </x:row>
    <x:row r="12">
      <x:c r="A12" s="74" t="str">
        <x:v>Sprint 3</x:v>
      </x:c>
      <x:c r="B12" s="80" t="str">
        <x:v>Dev B</x:v>
      </x:c>
      <x:c r="C12" s="138" t="n">
        <x:v>36</x:v>
      </x:c>
      <x:c r="D12" s="81" t="n">
        <x:f>SUMIFS('Sprint Backlog'!$J$5:$J$200,'Sprint Backlog'!$C$5:$C$200,A12,'Sprint Backlog'!$K$5:$K$200,B12,'Sprint Backlog'!$I$5:$I$200,"Committed")</x:f>
        <x:v>36</x:v>
      </x:c>
      <x:c r="E12" s="119" t="n">
        <x:v>0</x:v>
      </x:c>
      <x:c r="F12" s="81" t="n">
        <x:f>C12-E12</x:f>
        <x:v>36</x:v>
      </x:c>
      <x:c r="G12" s="119" t="n">
        <x:v>0</x:v>
      </x:c>
      <x:c r="H12" s="120" t="n">
        <x:f>IF(D12=0,0,G12/D12)</x:f>
        <x:v>0</x:v>
      </x:c>
      <x:c r="I12" s="80" t="str">
        <x:f>IF(E12=0,"Not started",IF(E12&lt;=C12,"Within capacity","Over capacity"))</x:f>
        <x:v>Not started</x:v>
      </x:c>
      <x:c r="J12" s="75" t="str">
        <x:f>IF(I12="Over capacity","Remove stretch / escalate change control",IF(H12&gt;=0.9,"Eligible for stretch review","Protect committed scope"))</x:f>
        <x:v>Protect committed scope</x:v>
      </x:c>
    </x:row>
    <x:row r="13">
      <x:c r="A13" s="68"/>
      <x:c r="B13" s="68"/>
      <x:c r="C13" s="68"/>
      <x:c r="D13" s="68"/>
      <x:c r="E13" s="68"/>
      <x:c r="F13" s="68"/>
      <x:c r="G13" s="68"/>
      <x:c r="H13" s="68"/>
      <x:c r="I13" s="68"/>
      <x:c r="J13" s="68"/>
    </x:row>
    <x:row r="14">
      <x:c r="A14" s="68"/>
      <x:c r="B14" s="68"/>
      <x:c r="C14" s="68"/>
      <x:c r="D14" s="68"/>
      <x:c r="E14" s="68"/>
      <x:c r="F14" s="68"/>
      <x:c r="G14" s="68"/>
      <x:c r="H14" s="68"/>
      <x:c r="I14" s="68"/>
      <x:c r="J14" s="68"/>
    </x:row>
    <x:row r="15" ht="28" customHeight="1">
      <x:c r="A15" s="69" t="str">
        <x:v>Reforecast checkpoint</x:v>
      </x:c>
      <x:c r="B15" s="69" t="str">
        <x:v>Trigger</x:v>
      </x:c>
      <x:c r="C15" s="69" t="str">
        <x:v>Formula / evidence</x:v>
      </x:c>
      <x:c r="D15" s="69" t="str">
        <x:v>Decision authority</x:v>
      </x:c>
      <x:c r="E15" s="69" t="str">
        <x:v>If green</x:v>
      </x:c>
      <x:c r="F15" s="69" t="str">
        <x:v>If amber</x:v>
      </x:c>
      <x:c r="G15" s="69" t="str">
        <x:v>If red</x:v>
      </x:c>
      <x:c r="H15" s="69" t="str">
        <x:v>Record</x:v>
      </x:c>
      <x:c r="I15" s="68"/>
      <x:c r="J15" s="68"/>
    </x:row>
    <x:row r="16">
      <x:c r="A16" s="70" t="str">
        <x:v>End Sprint 0</x:v>
      </x:c>
      <x:c r="B16" s="76" t="str">
        <x:v>Before Sprint 1 commitment</x:v>
      </x:c>
      <x:c r="C16" s="76" t="str">
        <x:v>Done h ÷ planned h; defect severity; DEP readiness</x:v>
      </x:c>
      <x:c r="D16" s="76" t="str">
        <x:v>PM + Developers</x:v>
      </x:c>
      <x:c r="E16" s="76" t="str">
        <x:v>Pull F11 + F01 up to 12 h</x:v>
      </x:c>
      <x:c r="F16" s="76" t="str">
        <x:v>Keep reserve; no stretch</x:v>
      </x:c>
      <x:c r="G16" s="76" t="str">
        <x:v>Remove non-Must; escalate Must change</x:v>
      </x:c>
      <x:c r="H16" s="71" t="str">
        <x:v>Sprint review + forecast log</x:v>
      </x:c>
      <x:c r="I16" s="68"/>
      <x:c r="J16" s="68"/>
    </x:row>
    <x:row r="17">
      <x:c r="A17" s="72" t="str">
        <x:v>Mid Sprint 1</x:v>
      </x:c>
      <x:c r="B17" s="78" t="str">
        <x:v>Any dependency &gt;2 working days late</x:v>
      </x:c>
      <x:c r="C17" s="78" t="str">
        <x:v>Blocked critical-path hours</x:v>
      </x:c>
      <x:c r="D17" s="78" t="str">
        <x:v>PM; C-Level if scope impact</x:v>
      </x:c>
      <x:c r="E17" s="78" t="str">
        <x:v>Continue</x:v>
      </x:c>
      <x:c r="F17" s="78" t="str">
        <x:v>Re-sequence unblocked Must</x:v>
      </x:c>
      <x:c r="G17" s="78" t="str">
        <x:v>Change control</x:v>
      </x:c>
      <x:c r="H17" s="73" t="str">
        <x:v>Dependency issue</x:v>
      </x:c>
      <x:c r="I17" s="68"/>
      <x:c r="J17" s="68"/>
    </x:row>
    <x:row r="18">
      <x:c r="A18" s="72" t="str">
        <x:v>End Sprint 1</x:v>
      </x:c>
      <x:c r="B18" s="78" t="str">
        <x:v>Before finance critical path</x:v>
      </x:c>
      <x:c r="C18" s="78" t="str">
        <x:v>Cumulative completion and defect trend</x:v>
      </x:c>
      <x:c r="D18" s="78" t="str">
        <x:v>PM + Developers</x:v>
      </x:c>
      <x:c r="E18" s="78" t="str">
        <x:v>Keep Sprint 2 plan</x:v>
      </x:c>
      <x:c r="F18" s="78" t="str">
        <x:v>Increase defect reserve from stretch only</x:v>
      </x:c>
      <x:c r="G18" s="78" t="str">
        <x:v>Defer all stretch</x:v>
      </x:c>
      <x:c r="H18" s="73" t="str">
        <x:v>Sprint review + forecast log</x:v>
      </x:c>
      <x:c r="I18" s="68"/>
      <x:c r="J18" s="68"/>
    </x:row>
    <x:row r="19">
      <x:c r="A19" s="74" t="str">
        <x:v>End Sprint 2</x:v>
      </x:c>
      <x:c r="B19" s="80" t="str">
        <x:v>Before stabilization</x:v>
      </x:c>
      <x:c r="C19" s="80" t="str">
        <x:v>Open Critical/High defects; E2E pass rate</x:v>
      </x:c>
      <x:c r="D19" s="80" t="str">
        <x:v>PM + C-Level</x:v>
      </x:c>
      <x:c r="E19" s="80" t="str">
        <x:v>Proceed Sprint 3</x:v>
      </x:c>
      <x:c r="F19" s="80" t="str">
        <x:v>Freeze stretch</x:v>
      </x:c>
      <x:c r="G19" s="80" t="str">
        <x:v>Use all remaining reserve for defects/UAT</x:v>
      </x:c>
      <x:c r="H19" s="75" t="str">
        <x:v>Release readiness note</x:v>
      </x:c>
      <x:c r="I19" s="68"/>
      <x:c r="J19" s="68"/>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54" hidden="0" customWidth="1"/>
    <x:col min="4" max="4" width="24" hidden="0" customWidth="1"/>
    <x:col min="5" max="5" width="20" hidden="0" customWidth="1"/>
    <x:col min="6" max="6" width="36" hidden="0" customWidth="1"/>
    <x:col min="7" max="7" width="16" hidden="0" customWidth="1"/>
    <x:col min="8" max="8" width="55" hidden="0" customWidth="1"/>
    <x:col min="9" max="9" width="32" hidden="0" customWidth="1"/>
  </x:cols>
  <x:sheetData>
    <x:row r="1" ht="30" customHeight="1">
      <x:c r="A1" s="66" t="str">
        <x:v>Dependencies &amp; Decisions</x:v>
      </x:c>
      <x:c r="B1" s="66" t="str">
        <x:v>Dependencies &amp; Decisions</x:v>
      </x:c>
      <x:c r="C1" s="66" t="str">
        <x:v>Dependencies &amp; Decisions</x:v>
      </x:c>
      <x:c r="D1" s="66" t="str">
        <x:v>Dependencies &amp; Decisions</x:v>
      </x:c>
      <x:c r="E1" s="66" t="str">
        <x:v>Dependencies &amp; Decisions</x:v>
      </x:c>
      <x:c r="F1" s="66" t="str">
        <x:v>Dependencies &amp; Decisions</x:v>
      </x:c>
      <x:c r="G1" s="66" t="str">
        <x:v>Dependencies &amp; Decisions</x:v>
      </x:c>
      <x:c r="H1" s="66" t="str">
        <x:v>Dependencies &amp; Decisions</x:v>
      </x:c>
      <x:c r="I1" s="66" t="str">
        <x:v>Dependencies &amp; Decisions</x:v>
      </x:c>
    </x:row>
    <x:row r="2" ht="26" customHeight="1">
      <x:c r="A2" s="67" t="str">
        <x:v>Create these as separate GitHub issues before feature work, following NoLimit's DEP pattern</x:v>
      </x:c>
      <x:c r="B2" s="67" t="str">
        <x:v>Create these as separate GitHub issues before feature work, following NoLimit's DEP pattern</x:v>
      </x:c>
      <x:c r="C2" s="67" t="str">
        <x:v>Create these as separate GitHub issues before feature work, following NoLimit's DEP pattern</x:v>
      </x:c>
      <x:c r="D2" s="67" t="str">
        <x:v>Create these as separate GitHub issues before feature work, following NoLimit's DEP pattern</x:v>
      </x:c>
      <x:c r="E2" s="67" t="str">
        <x:v>Create these as separate GitHub issues before feature work, following NoLimit's DEP pattern</x:v>
      </x:c>
      <x:c r="F2" s="67" t="str">
        <x:v>Create these as separate GitHub issues before feature work, following NoLimit's DEP pattern</x:v>
      </x:c>
      <x:c r="G2" s="67" t="str">
        <x:v>Create these as separate GitHub issues before feature work, following NoLimit's DEP pattern</x:v>
      </x:c>
      <x:c r="H2" s="67" t="str">
        <x:v>Create these as separate GitHub issues before feature work, following NoLimit's DEP pattern</x:v>
      </x:c>
      <x:c r="I2" s="67" t="str">
        <x:v>Create these as separate GitHub issues before feature work, following NoLimit's DEP pattern</x:v>
      </x:c>
    </x:row>
    <x:row r="3">
      <x:c r="A3" s="68"/>
      <x:c r="B3" s="68"/>
      <x:c r="C3" s="68"/>
      <x:c r="D3" s="68"/>
      <x:c r="E3" s="68"/>
      <x:c r="F3" s="68"/>
      <x:c r="G3" s="68"/>
      <x:c r="H3" s="68"/>
      <x:c r="I3" s="68"/>
    </x:row>
    <x:row r="4" ht="28" customHeight="1">
      <x:c r="A4" s="69" t="str">
        <x:v>ID</x:v>
      </x:c>
      <x:c r="B4" s="69" t="str">
        <x:v>Type</x:v>
      </x:c>
      <x:c r="C4" s="69" t="str">
        <x:v>Dependency / decision</x:v>
      </x:c>
      <x:c r="D4" s="69" t="str">
        <x:v>Owner</x:v>
      </x:c>
      <x:c r="E4" s="69" t="str">
        <x:v>Due</x:v>
      </x:c>
      <x:c r="F4" s="69" t="str">
        <x:v>Blocks</x:v>
      </x:c>
      <x:c r="G4" s="69" t="str">
        <x:v>Status</x:v>
      </x:c>
      <x:c r="H4" s="69" t="str">
        <x:v>Expected output / acceptance</x:v>
      </x:c>
      <x:c r="I4" s="69" t="str">
        <x:v>Source</x:v>
      </x:c>
    </x:row>
    <x:row r="5" ht="52" customHeight="1">
      <x:c r="A5" s="70" t="str">
        <x:v>DEP-01</x:v>
      </x:c>
      <x:c r="B5" s="76" t="str">
        <x:v>Decision</x:v>
      </x:c>
      <x:c r="C5" s="76" t="str">
        <x:v>Appoint Authorized TechDev / System Administrator privilege holder</x:v>
      </x:c>
      <x:c r="D5" s="76" t="str">
        <x:v>C-Level</x:v>
      </x:c>
      <x:c r="E5" s="76" t="str">
        <x:v>31 Aug 2026</x:v>
      </x:c>
      <x:c r="F5" s="76" t="str">
        <x:v>F01, F02, F03 test setup</x:v>
      </x:c>
      <x:c r="G5" s="139" t="str">
        <x:v>Open</x:v>
      </x:c>
      <x:c r="H5" s="76" t="str">
        <x:v>Named member and scope of administrative privilege recorded</x:v>
      </x:c>
      <x:c r="I5" s="71" t="str">
        <x:v>PRD §3.9 input table</x:v>
      </x:c>
    </x:row>
    <x:row r="6" ht="52" customHeight="1">
      <x:c r="A6" s="72" t="str">
        <x:v>DEP-02</x:v>
      </x:c>
      <x:c r="B6" s="78" t="str">
        <x:v>Decision</x:v>
      </x:c>
      <x:c r="C6" s="78" t="str">
        <x:v>Confirm Finance and TechDev role-permission matrix in writing</x:v>
      </x:c>
      <x:c r="D6" s="78" t="str">
        <x:v>CFO + CTO</x:v>
      </x:c>
      <x:c r="E6" s="78" t="str">
        <x:v>31 Aug 2026</x:v>
      </x:c>
      <x:c r="F6" s="78" t="str">
        <x:v>F03, F15, F17 and ~12 UAT cases</x:v>
      </x:c>
      <x:c r="G6" s="140" t="str">
        <x:v>Open</x:v>
      </x:c>
      <x:c r="H6" s="78" t="str">
        <x:v>Approved matrix or written corrections to PRD baseline</x:v>
      </x:c>
      <x:c r="I6" s="73" t="str">
        <x:v>PRD §3.5 and §6</x:v>
      </x:c>
    </x:row>
    <x:row r="7" ht="52" customHeight="1">
      <x:c r="A7" s="72" t="str">
        <x:v>DEP-03</x:v>
      </x:c>
      <x:c r="B7" s="78" t="str">
        <x:v>Capacity</x:v>
      </x:c>
      <x:c r="C7" s="78" t="str">
        <x:v>Confirm both developers' 18 hours/week availability and known UTS constraints</x:v>
      </x:c>
      <x:c r="D7" s="78" t="str">
        <x:v>Tech Lead + Developers</x:v>
      </x:c>
      <x:c r="E7" s="78" t="str">
        <x:v>30 Aug 2026</x:v>
      </x:c>
      <x:c r="F7" s="78" t="str">
        <x:v>All sprints</x:v>
      </x:c>
      <x:c r="G7" s="140" t="str">
        <x:v>Open</x:v>
      </x:c>
      <x:c r="H7" s="78" t="str">
        <x:v>Availability calendar and escalation path agreed</x:v>
      </x:c>
      <x:c r="I7" s="73" t="str">
        <x:v>PRD §3.9 and §6</x:v>
      </x:c>
    </x:row>
    <x:row r="8" ht="52" customHeight="1">
      <x:c r="A8" s="72" t="str">
        <x:v>DEP-04</x:v>
      </x:c>
      <x:c r="B8" s="78" t="str">
        <x:v>Business Rule</x:v>
      </x:c>
      <x:c r="C8" s="78" t="str">
        <x:v>Provide official eleven stages; provide gate rules only if F10 is pulled</x:v>
      </x:c>
      <x:c r="D8" s="78" t="str">
        <x:v>COO</x:v>
      </x:c>
      <x:c r="E8" s="78" t="str">
        <x:v>7 Sep 2026</x:v>
      </x:c>
      <x:c r="F8" s="78" t="str">
        <x:v>F09; F10 stretch</x:v>
      </x:c>
      <x:c r="G8" s="140" t="str">
        <x:v>Open</x:v>
      </x:c>
      <x:c r="H8" s="78" t="str">
        <x:v>Stage list approved; gate rules documented without assumptions</x:v>
      </x:c>
      <x:c r="I8" s="73" t="str">
        <x:v>PRD §3.9</x:v>
      </x:c>
    </x:row>
    <x:row r="9" ht="52" customHeight="1">
      <x:c r="A9" s="72" t="str">
        <x:v>DEP-05</x:v>
      </x:c>
      <x:c r="B9" s="78" t="str">
        <x:v>Environment</x:v>
      </x:c>
      <x:c r="C9" s="78" t="str">
        <x:v>Provide UAT environment prepared by DevOps IIT</x:v>
      </x:c>
      <x:c r="D9" s="78" t="str">
        <x:v>DevOps IIT</x:v>
      </x:c>
      <x:c r="E9" s="78" t="str">
        <x:v>13 Oct 2026</x:v>
      </x:c>
      <x:c r="F9" s="78" t="str">
        <x:v>UAT execution</x:v>
      </x:c>
      <x:c r="G9" s="140" t="str">
        <x:v>Open</x:v>
      </x:c>
      <x:c r="H9" s="78" t="str">
        <x:v>Environment accessible; health checks and test data load pass</x:v>
      </x:c>
      <x:c r="I9" s="73" t="str">
        <x:v>PRD §3.7, §6</x:v>
      </x:c>
    </x:row>
    <x:row r="10" ht="52" customHeight="1">
      <x:c r="A10" s="72" t="str">
        <x:v>DEP-06</x:v>
      </x:c>
      <x:c r="B10" s="78" t="str">
        <x:v>People</x:v>
      </x:c>
      <x:c r="C10" s="78" t="str">
        <x:v>Confirm UAT participants, schedule, decision maker, and BAST signer</x:v>
      </x:c>
      <x:c r="D10" s="78" t="str">
        <x:v>PM + C-Level</x:v>
      </x:c>
      <x:c r="E10" s="78" t="str">
        <x:v>15 Oct 2026</x:v>
      </x:c>
      <x:c r="F10" s="78" t="str">
        <x:v>UAT and sign-off</x:v>
      </x:c>
      <x:c r="G10" s="140" t="str">
        <x:v>Open</x:v>
      </x:c>
      <x:c r="H10" s="78" t="str">
        <x:v>At least one tester per division; sign-off authority named</x:v>
      </x:c>
      <x:c r="I10" s="73" t="str">
        <x:v>PRD §3.9; benchmark NoLimit #11</x:v>
      </x:c>
    </x:row>
    <x:row r="11" ht="52" customHeight="1">
      <x:c r="A11" s="72" t="str">
        <x:v>DEP-07</x:v>
      </x:c>
      <x:c r="B11" s="78" t="str">
        <x:v>External Input</x:v>
      </x:c>
      <x:c r="C11" s="78" t="str">
        <x:v>Provide official Charter/MoU and Finance document templates if F12 is pulled</x:v>
      </x:c>
      <x:c r="D11" s="78" t="str">
        <x:v>Operational + Finance</x:v>
      </x:c>
      <x:c r="E11" s="78" t="str">
        <x:v>Before F12; target 5 Oct</x:v>
      </x:c>
      <x:c r="F11" s="78" t="str">
        <x:v>F12 stretch</x:v>
      </x:c>
      <x:c r="G11" s="140" t="str">
        <x:v>Open</x:v>
      </x:c>
      <x:c r="H11" s="78" t="str">
        <x:v>Machine-fillable templates and editable-field rules approved</x:v>
      </x:c>
      <x:c r="I11" s="73" t="str">
        <x:v>PRD §3.9 and §6</x:v>
      </x:c>
    </x:row>
    <x:row r="12" ht="52" customHeight="1">
      <x:c r="A12" s="74" t="str">
        <x:v>DEP-08</x:v>
      </x:c>
      <x:c r="B12" s="80" t="str">
        <x:v>Architecture</x:v>
      </x:c>
      <x:c r="C12" s="80" t="str">
        <x:v>Approve ADR, stack, entity model, and repository conventions</x:v>
      </x:c>
      <x:c r="D12" s="80" t="str">
        <x:v>Tech Lead / CTO</x:v>
      </x:c>
      <x:c r="E12" s="80" t="str">
        <x:v>31 Aug 2026</x:v>
      </x:c>
      <x:c r="F12" s="80" t="str">
        <x:v>INF-01, INF-02</x:v>
      </x:c>
      <x:c r="G12" s="141" t="str">
        <x:v>Open</x:v>
      </x:c>
      <x:c r="H12" s="80" t="str">
        <x:v>ADR merged and conventions acknowledged before schema/code divergence</x:v>
      </x:c>
      <x:c r="I12" s="75" t="str">
        <x:v>PRD §7 Phase 1; benchmark NoLimit #12</x:v>
      </x:c>
    </x:row>
  </x:sheetData>
  <x:mergeCells>
    <x:mergeCell ref="A1:I1"/>
    <x:mergeCell ref="A2:I2"/>
  </x:mergeCells>
  <x:dataValidations count="1">
    <x:dataValidation type="list" sqref="G5:G12">
      <x:formula1>"Open,In Progress,Resolved,Escalated"</x:formula1>
    </x:dataValidation>
  </x:dataValidations>
  <x:pageMargins left="0.7" right="0.7" top="0.75" bottom="0.75" header="0.3" footer="0.3"/>
  <x:tableParts count="1">
    <x:tablePart xmlns:r="http://schemas.openxmlformats.org/officeDocument/2006/relationships" r:id="Rbbf9fd9c596a45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34" hidden="0" customWidth="1"/>
    <x:col min="4" max="4" width="14" hidden="0" customWidth="1"/>
    <x:col min="5" max="5" width="14" hidden="0" customWidth="1"/>
    <x:col min="6" max="6" width="20" hidden="0" customWidth="1"/>
    <x:col min="7" max="7" width="20" hidden="0" customWidth="1"/>
    <x:col min="8" max="8" width="16" hidden="0" customWidth="1"/>
    <x:col min="9" max="9" width="24" hidden="0" customWidth="1"/>
    <x:col min="10" max="10" width="62" hidden="0" customWidth="1"/>
    <x:col min="11" max="11" width="38" hidden="0" customWidth="1"/>
  </x:cols>
  <x:sheetData>
    <x:row r="1" ht="30" customHeight="1">
      <x:c r="A1" s="66" t="str">
        <x:v>Stretch Queue</x:v>
      </x:c>
      <x:c r="B1" s="66" t="str">
        <x:v>Stretch Queue</x:v>
      </x:c>
      <x:c r="C1" s="66" t="str">
        <x:v>Stretch Queue</x:v>
      </x:c>
      <x:c r="D1" s="66" t="str">
        <x:v>Stretch Queue</x:v>
      </x:c>
      <x:c r="E1" s="66" t="str">
        <x:v>Stretch Queue</x:v>
      </x:c>
      <x:c r="F1" s="66" t="str">
        <x:v>Stretch Queue</x:v>
      </x:c>
      <x:c r="G1" s="66" t="str">
        <x:v>Stretch Queue</x:v>
      </x:c>
      <x:c r="H1" s="66" t="str">
        <x:v>Stretch Queue</x:v>
      </x:c>
      <x:c r="I1" s="66" t="str">
        <x:v>Stretch Queue</x:v>
      </x:c>
      <x:c r="J1" s="66" t="str">
        <x:v>Stretch Queue</x:v>
      </x:c>
      <x:c r="K1" s="66" t="str">
        <x:v>Stretch Queue</x:v>
      </x:c>
    </x:row>
    <x:row r="2" ht="26" customHeight="1">
      <x:c r="A2" s="67" t="str">
        <x:v>Non-committed scope; pull only through the reforecast gate and never at the expense of Must-Have or cross-cutting work</x:v>
      </x:c>
      <x:c r="B2" s="67" t="str">
        <x:v>Non-committed scope; pull only through the reforecast gate and never at the expense of Must-Have or cross-cutting work</x:v>
      </x:c>
      <x:c r="C2" s="67" t="str">
        <x:v>Non-committed scope; pull only through the reforecast gate and never at the expense of Must-Have or cross-cutting work</x:v>
      </x:c>
      <x:c r="D2" s="67" t="str">
        <x:v>Non-committed scope; pull only through the reforecast gate and never at the expense of Must-Have or cross-cutting work</x:v>
      </x:c>
      <x:c r="E2" s="67" t="str">
        <x:v>Non-committed scope; pull only through the reforecast gate and never at the expense of Must-Have or cross-cutting work</x:v>
      </x:c>
      <x:c r="F2" s="67" t="str">
        <x:v>Non-committed scope; pull only through the reforecast gate and never at the expense of Must-Have or cross-cutting work</x:v>
      </x:c>
      <x:c r="G2" s="67" t="str">
        <x:v>Non-committed scope; pull only through the reforecast gate and never at the expense of Must-Have or cross-cutting work</x:v>
      </x:c>
      <x:c r="H2" s="67" t="str">
        <x:v>Non-committed scope; pull only through the reforecast gate and never at the expense of Must-Have or cross-cutting work</x:v>
      </x:c>
      <x:c r="I2" s="67" t="str">
        <x:v>Non-committed scope; pull only through the reforecast gate and never at the expense of Must-Have or cross-cutting work</x:v>
      </x:c>
      <x:c r="J2" s="67" t="str">
        <x:v>Non-committed scope; pull only through the reforecast gate and never at the expense of Must-Have or cross-cutting work</x:v>
      </x:c>
      <x:c r="K2" s="67" t="str">
        <x:v>Non-committed scope; pull only through the reforecast gate and never at the expense of Must-Have or cross-cutting work</x:v>
      </x:c>
    </x:row>
    <x:row r="3">
      <x:c r="A3" s="68"/>
      <x:c r="B3" s="68"/>
      <x:c r="C3" s="68"/>
      <x:c r="D3" s="68"/>
      <x:c r="E3" s="68"/>
      <x:c r="F3" s="68"/>
      <x:c r="G3" s="68"/>
      <x:c r="H3" s="68"/>
      <x:c r="I3" s="68"/>
      <x:c r="J3" s="68"/>
      <x:c r="K3" s="68"/>
    </x:row>
    <x:row r="4" ht="28" customHeight="1">
      <x:c r="A4" s="69" t="str">
        <x:v>Rank</x:v>
      </x:c>
      <x:c r="B4" s="69" t="str">
        <x:v>Feature ID</x:v>
      </x:c>
      <x:c r="C4" s="69" t="str">
        <x:v>Feature</x:v>
      </x:c>
      <x:c r="D4" s="69" t="str">
        <x:v>MoSCoW</x:v>
      </x:c>
      <x:c r="E4" s="69" t="str">
        <x:v>Estimate h</x:v>
      </x:c>
      <x:c r="F4" s="69" t="str">
        <x:v>Business value (1–5)</x:v>
      </x:c>
      <x:c r="G4" s="69" t="str">
        <x:v>Risk reduction (1–5)</x:v>
      </x:c>
      <x:c r="H4" s="69" t="str">
        <x:v>Readiness (1–5)</x:v>
      </x:c>
      <x:c r="I4" s="69" t="str">
        <x:v>Suggested slot</x:v>
      </x:c>
      <x:c r="J4" s="69" t="str">
        <x:v>Pull condition / rationale</x:v>
      </x:c>
      <x:c r="K4" s="69" t="str">
        <x:v>Source</x:v>
      </x:c>
    </x:row>
    <x:row r="5" ht="48" customHeight="1">
      <x:c r="A5" s="142" t="n">
        <x:v>1</x:v>
      </x:c>
      <x:c r="B5" s="143" t="str">
        <x:v>F11</x:v>
      </x:c>
      <x:c r="C5" s="143" t="str">
        <x:v>Project Document List</x:v>
      </x:c>
      <x:c r="D5" s="143" t="str">
        <x:v>Should</x:v>
      </x:c>
      <x:c r="E5" s="144" t="n">
        <x:v>5</x:v>
      </x:c>
      <x:c r="F5" s="143" t="n">
        <x:v>5</x:v>
      </x:c>
      <x:c r="G5" s="143" t="n">
        <x:v>4</x:v>
      </x:c>
      <x:c r="H5" s="143" t="n">
        <x:v>3</x:v>
      </x:c>
      <x:c r="I5" s="145" t="str">
        <x:v>Sprint 1 reserve</x:v>
      </x:c>
      <x:c r="J5" s="145" t="str">
        <x:v>Pull if Sprint 0 completion ≥90%, no open Critical/High blocker, and 12h reserve remains</x:v>
      </x:c>
      <x:c r="K5" s="146" t="str">
        <x:v>PRD Appendix A; Charter estimate</x:v>
      </x:c>
    </x:row>
    <x:row r="6" ht="48" customHeight="1">
      <x:c r="A6" s="147" t="n">
        <x:v>2</x:v>
      </x:c>
      <x:c r="B6" s="148" t="str">
        <x:v>F01</x:v>
      </x:c>
      <x:c r="C6" s="148" t="str">
        <x:v>Account Invitation &amp; Onboarding</x:v>
      </x:c>
      <x:c r="D6" s="148" t="str">
        <x:v>Should</x:v>
      </x:c>
      <x:c r="E6" s="149" t="n">
        <x:v>7</x:v>
      </x:c>
      <x:c r="F6" s="148" t="n">
        <x:v>4</x:v>
      </x:c>
      <x:c r="G6" s="148" t="n">
        <x:v>4</x:v>
      </x:c>
      <x:c r="H6" s="148" t="n">
        <x:v>2</x:v>
      </x:c>
      <x:c r="I6" s="150" t="str">
        <x:v>Sprint 1 reserve</x:v>
      </x:c>
      <x:c r="J6" s="150" t="str">
        <x:v>Pull together with F11 only after core auth/session is stable</x:v>
      </x:c>
      <x:c r="K6" s="151" t="str">
        <x:v>PRD Appendix A; Charter estimate</x:v>
      </x:c>
    </x:row>
    <x:row r="7" ht="48" customHeight="1">
      <x:c r="A7" s="124" t="n">
        <x:v>3</x:v>
      </x:c>
      <x:c r="B7" s="125" t="str">
        <x:v>F30</x:v>
      </x:c>
      <x:c r="C7" s="125" t="str">
        <x:v>Handover &amp; Period Transition</x:v>
      </x:c>
      <x:c r="D7" s="125" t="str">
        <x:v>Should</x:v>
      </x:c>
      <x:c r="E7" s="126" t="n">
        <x:v>4</x:v>
      </x:c>
      <x:c r="F7" s="125" t="n">
        <x:v>4</x:v>
      </x:c>
      <x:c r="G7" s="125" t="n">
        <x:v>3</x:v>
      </x:c>
      <x:c r="H7" s="125" t="n">
        <x:v>3</x:v>
      </x:c>
      <x:c r="I7" s="78" t="str">
        <x:v>Future / remaining reserve</x:v>
      </x:c>
      <x:c r="J7" s="78" t="str">
        <x:v>Security-continuity value; baseline session expiry already covered by F02</x:v>
      </x:c>
      <x:c r="K7" s="73" t="str">
        <x:v>PRD Appendix A; Charter estimate</x:v>
      </x:c>
    </x:row>
    <x:row r="8" ht="48" customHeight="1">
      <x:c r="A8" s="124" t="n">
        <x:v>4</x:v>
      </x:c>
      <x:c r="B8" s="125" t="str">
        <x:v>F18</x:v>
      </x:c>
      <x:c r="C8" s="125" t="str">
        <x:v>Approver Delegation</x:v>
      </x:c>
      <x:c r="D8" s="125" t="str">
        <x:v>Should</x:v>
      </x:c>
      <x:c r="E8" s="126" t="n">
        <x:v>7</x:v>
      </x:c>
      <x:c r="F8" s="125" t="n">
        <x:v>4</x:v>
      </x:c>
      <x:c r="G8" s="125" t="n">
        <x:v>3</x:v>
      </x:c>
      <x:c r="H8" s="125" t="n">
        <x:v>3</x:v>
      </x:c>
      <x:c r="I8" s="78" t="str">
        <x:v>Future / remaining reserve</x:v>
      </x:c>
      <x:c r="J8" s="78" t="str">
        <x:v>Pull after regular approval F17 is stable</x:v>
      </x:c>
      <x:c r="K8" s="73" t="str">
        <x:v>PRD Appendix A; Charter estimate</x:v>
      </x:c>
    </x:row>
    <x:row r="9" ht="48" customHeight="1">
      <x:c r="A9" s="124" t="n">
        <x:v>5</x:v>
      </x:c>
      <x:c r="B9" s="125" t="str">
        <x:v>F19</x:v>
      </x:c>
      <x:c r="C9" s="125" t="str">
        <x:v>Priority Zero</x:v>
      </x:c>
      <x:c r="D9" s="125" t="str">
        <x:v>Should</x:v>
      </x:c>
      <x:c r="E9" s="126" t="n">
        <x:v>9</x:v>
      </x:c>
      <x:c r="F9" s="125" t="n">
        <x:v>4</x:v>
      </x:c>
      <x:c r="G9" s="125" t="n">
        <x:v>4</x:v>
      </x:c>
      <x:c r="H9" s="125" t="n">
        <x:v>2</x:v>
      </x:c>
      <x:c r="I9" s="78" t="str">
        <x:v>Future / remaining reserve</x:v>
      </x:c>
      <x:c r="J9" s="78" t="str">
        <x:v>Do not pull before regular approval and audit paths pass</x:v>
      </x:c>
      <x:c r="K9" s="73" t="str">
        <x:v>PRD Appendix A; Charter estimate</x:v>
      </x:c>
    </x:row>
    <x:row r="10" ht="48" customHeight="1">
      <x:c r="A10" s="124" t="n">
        <x:v>6</x:v>
      </x:c>
      <x:c r="B10" s="125" t="str">
        <x:v>F10</x:v>
      </x:c>
      <x:c r="C10" s="125" t="str">
        <x:v>Gate &amp; Prerequisite Engine</x:v>
      </x:c>
      <x:c r="D10" s="125" t="str">
        <x:v>Should</x:v>
      </x:c>
      <x:c r="E10" s="126" t="n">
        <x:v>21</x:v>
      </x:c>
      <x:c r="F10" s="125" t="n">
        <x:v>5</x:v>
      </x:c>
      <x:c r="G10" s="125" t="n">
        <x:v>5</x:v>
      </x:c>
      <x:c r="H10" s="125" t="n">
        <x:v>1</x:v>
      </x:c>
      <x:c r="I10" s="78" t="str">
        <x:v>Future release</x:v>
      </x:c>
      <x:c r="J10" s="78" t="str">
        <x:v>High strategic value but high rule/defect risk and exceeds current reserve</x:v>
      </x:c>
      <x:c r="K10" s="73" t="str">
        <x:v>PRD Appendix A; Charter estimate</x:v>
      </x:c>
    </x:row>
    <x:row r="11" ht="48" customHeight="1">
      <x:c r="A11" s="124" t="n">
        <x:v>7</x:v>
      </x:c>
      <x:c r="B11" s="125" t="str">
        <x:v>F26</x:v>
      </x:c>
      <x:c r="C11" s="125" t="str">
        <x:v>Financial Summary</x:v>
      </x:c>
      <x:c r="D11" s="125" t="str">
        <x:v>Should</x:v>
      </x:c>
      <x:c r="E11" s="126" t="n">
        <x:v>7</x:v>
      </x:c>
      <x:c r="F11" s="125" t="n">
        <x:v>3</x:v>
      </x:c>
      <x:c r="G11" s="125" t="n">
        <x:v>3</x:v>
      </x:c>
      <x:c r="H11" s="125" t="n">
        <x:v>4</x:v>
      </x:c>
      <x:c r="I11" s="78" t="str">
        <x:v>Future release</x:v>
      </x:c>
      <x:c r="J11" s="78" t="str">
        <x:v>Useful after termin and receipt data stabilize</x:v>
      </x:c>
      <x:c r="K11" s="73" t="str">
        <x:v>PRD Appendix A; Charter deferred estimate</x:v>
      </x:c>
    </x:row>
    <x:row r="12" ht="48" customHeight="1">
      <x:c r="A12" s="124" t="n">
        <x:v>8</x:v>
      </x:c>
      <x:c r="B12" s="125" t="str">
        <x:v>F29</x:v>
      </x:c>
      <x:c r="C12" s="125" t="str">
        <x:v>Project Archive</x:v>
      </x:c>
      <x:c r="D12" s="125" t="str">
        <x:v>Should</x:v>
      </x:c>
      <x:c r="E12" s="126" t="n">
        <x:v>4</x:v>
      </x:c>
      <x:c r="F12" s="125" t="n">
        <x:v>3</x:v>
      </x:c>
      <x:c r="G12" s="125" t="n">
        <x:v>2</x:v>
      </x:c>
      <x:c r="H12" s="125" t="n">
        <x:v>4</x:v>
      </x:c>
      <x:c r="I12" s="78" t="str">
        <x:v>Future release</x:v>
      </x:c>
      <x:c r="J12" s="78" t="str">
        <x:v>Low effort; not required for first operational flow</x:v>
      </x:c>
      <x:c r="K12" s="73" t="str">
        <x:v>PRD Appendix A; Charter deferred estimate</x:v>
      </x:c>
    </x:row>
    <x:row r="13" ht="48" customHeight="1">
      <x:c r="A13" s="124" t="n">
        <x:v>9</x:v>
      </x:c>
      <x:c r="B13" s="125" t="str">
        <x:v>F27</x:v>
      </x:c>
      <x:c r="C13" s="125" t="str">
        <x:v>Project Dashboard</x:v>
      </x:c>
      <x:c r="D13" s="125" t="str">
        <x:v>Should</x:v>
      </x:c>
      <x:c r="E13" s="126" t="n">
        <x:v>9</x:v>
      </x:c>
      <x:c r="F13" s="125" t="n">
        <x:v>3</x:v>
      </x:c>
      <x:c r="G13" s="125" t="n">
        <x:v>3</x:v>
      </x:c>
      <x:c r="H13" s="125" t="n">
        <x:v>3</x:v>
      </x:c>
      <x:c r="I13" s="78" t="str">
        <x:v>Future release</x:v>
      </x:c>
      <x:c r="J13" s="78" t="str">
        <x:v>Project Hub provides interim visibility</x:v>
      </x:c>
      <x:c r="K13" s="73" t="str">
        <x:v>PRD Appendix A; Charter deferred estimate</x:v>
      </x:c>
    </x:row>
    <x:row r="14" ht="48" customHeight="1">
      <x:c r="A14" s="124" t="n">
        <x:v>10</x:v>
      </x:c>
      <x:c r="B14" s="125" t="str">
        <x:v>F21</x:v>
      </x:c>
      <x:c r="C14" s="125" t="str">
        <x:v>Disbursement</x:v>
      </x:c>
      <x:c r="D14" s="125" t="str">
        <x:v>Should</x:v>
      </x:c>
      <x:c r="E14" s="126" t="n">
        <x:v>7</x:v>
      </x:c>
      <x:c r="F14" s="125" t="n">
        <x:v>3</x:v>
      </x:c>
      <x:c r="G14" s="125" t="n">
        <x:v>3</x:v>
      </x:c>
      <x:c r="H14" s="125" t="n">
        <x:v>3</x:v>
      </x:c>
      <x:c r="I14" s="78" t="str">
        <x:v>Future release</x:v>
      </x:c>
      <x:c r="J14" s="78" t="str">
        <x:v>Existing Finance process remains workaround</x:v>
      </x:c>
      <x:c r="K14" s="73" t="str">
        <x:v>PRD Appendix A; Charter estimate</x:v>
      </x:c>
    </x:row>
    <x:row r="15" ht="48" customHeight="1">
      <x:c r="A15" s="124" t="n">
        <x:v>11</x:v>
      </x:c>
      <x:c r="B15" s="125" t="str">
        <x:v>F22</x:v>
      </x:c>
      <x:c r="C15" s="125" t="str">
        <x:v>Reimbursement</x:v>
      </x:c>
      <x:c r="D15" s="125" t="str">
        <x:v>Should</x:v>
      </x:c>
      <x:c r="E15" s="126" t="n">
        <x:v>5</x:v>
      </x:c>
      <x:c r="F15" s="125" t="n">
        <x:v>3</x:v>
      </x:c>
      <x:c r="G15" s="125" t="n">
        <x:v>2</x:v>
      </x:c>
      <x:c r="H15" s="125" t="n">
        <x:v>4</x:v>
      </x:c>
      <x:c r="I15" s="78" t="str">
        <x:v>Future release</x:v>
      </x:c>
      <x:c r="J15" s="78" t="str">
        <x:v>Existing Finance form/sheet remains workaround</x:v>
      </x:c>
      <x:c r="K15" s="73" t="str">
        <x:v>PRD Appendix A; Charter estimate</x:v>
      </x:c>
    </x:row>
    <x:row r="16" ht="48" customHeight="1">
      <x:c r="A16" s="124" t="n">
        <x:v>12</x:v>
      </x:c>
      <x:c r="B16" s="125" t="str">
        <x:v>F12</x:v>
      </x:c>
      <x:c r="C16" s="125" t="str">
        <x:v>Document Template Generation</x:v>
      </x:c>
      <x:c r="D16" s="125" t="str">
        <x:v>Should</x:v>
      </x:c>
      <x:c r="E16" s="126" t="n">
        <x:v>26</x:v>
      </x:c>
      <x:c r="F16" s="125" t="n">
        <x:v>4</x:v>
      </x:c>
      <x:c r="G16" s="125" t="n">
        <x:v>3</x:v>
      </x:c>
      <x:c r="H16" s="125" t="n">
        <x:v>1</x:v>
      </x:c>
      <x:c r="I16" s="78" t="str">
        <x:v>Future release</x:v>
      </x:c>
      <x:c r="J16" s="78" t="str">
        <x:v>Large effort and external-template dependency; F25 links are the accepted workaround</x:v>
      </x:c>
      <x:c r="K16" s="73" t="str">
        <x:v>PRD Appendix A; Charter estimate</x:v>
      </x:c>
    </x:row>
    <x:row r="17" ht="48" customHeight="1">
      <x:c r="A17" s="124" t="n">
        <x:v>13</x:v>
      </x:c>
      <x:c r="B17" s="125" t="str">
        <x:v>F23</x:v>
      </x:c>
      <x:c r="C17" s="125" t="str">
        <x:v>Important Data Change Approval</x:v>
      </x:c>
      <x:c r="D17" s="125" t="str">
        <x:v>Could</x:v>
      </x:c>
      <x:c r="E17" s="126" t="n">
        <x:v>9</x:v>
      </x:c>
      <x:c r="F17" s="125" t="n">
        <x:v>2</x:v>
      </x:c>
      <x:c r="G17" s="125" t="n">
        <x:v>2</x:v>
      </x:c>
      <x:c r="H17" s="125" t="n">
        <x:v>3</x:v>
      </x:c>
      <x:c r="I17" s="78" t="str">
        <x:v>Future release</x:v>
      </x:c>
      <x:c r="J17" s="78" t="str">
        <x:v>Normal edit rights plus audit trail are the accepted workaround</x:v>
      </x:c>
      <x:c r="K17" s="73" t="str">
        <x:v>PRD Appendix A; Charter estimate</x:v>
      </x:c>
    </x:row>
    <x:row r="18" ht="48" customHeight="1">
      <x:c r="A18" s="127" t="n">
        <x:v>14</x:v>
      </x:c>
      <x:c r="B18" s="128" t="str">
        <x:v>F28</x:v>
      </x:c>
      <x:c r="C18" s="128" t="str">
        <x:v>Search &amp; Filter</x:v>
      </x:c>
      <x:c r="D18" s="128" t="str">
        <x:v>Could</x:v>
      </x:c>
      <x:c r="E18" s="129" t="n">
        <x:v>5</x:v>
      </x:c>
      <x:c r="F18" s="128" t="n">
        <x:v>2</x:v>
      </x:c>
      <x:c r="G18" s="128" t="n">
        <x:v>2</x:v>
      </x:c>
      <x:c r="H18" s="128" t="n">
        <x:v>4</x:v>
      </x:c>
      <x:c r="I18" s="80" t="str">
        <x:v>Future release</x:v>
      </x:c>
      <x:c r="J18" s="80" t="str">
        <x:v>Browser find/simple list filtering is the accepted workaround</x:v>
      </x:c>
      <x:c r="K18" s="75" t="str">
        <x:v>PRD Appendix A; Charter deferred estimate</x:v>
      </x:c>
    </x:row>
  </x:sheetData>
  <x:mergeCells>
    <x:mergeCell ref="A1:K1"/>
    <x:mergeCell ref="A2:K2"/>
  </x:mergeCells>
  <x:pageMargins left="0.7" right="0.7" top="0.75" bottom="0.75" header="0.3" footer="0.3"/>
  <x:tableParts count="1">
    <x:tablePart xmlns:r="http://schemas.openxmlformats.org/officeDocument/2006/relationships" r:id="R33fca4f73dfc46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62" hidden="0" customWidth="1"/>
    <x:col min="3" max="3" width="62" hidden="0" customWidth="1"/>
    <x:col min="4" max="4" width="64" hidden="0" customWidth="1"/>
  </x:cols>
  <x:sheetData>
    <x:row r="1" ht="30" customHeight="1">
      <x:c r="A1" s="66" t="str">
        <x:v>NoLimit Billing System Benchmark</x:v>
      </x:c>
      <x:c r="B1" s="66" t="str">
        <x:v>NoLimit Billing System Benchmark</x:v>
      </x:c>
      <x:c r="C1" s="66" t="str">
        <x:v>NoLimit Billing System Benchmark</x:v>
      </x:c>
      <x:c r="D1" s="66" t="str">
        <x:v>NoLimit Billing System Benchmark</x:v>
      </x:c>
    </x:row>
    <x:row r="2" ht="26" customHeight="1">
      <x:c r="A2" s="67" t="str">
        <x:v>Practices adopted as references—not copied blindly—into IITrack's smaller 4-sprint delivery</x:v>
      </x:c>
      <x:c r="B2" s="67" t="str">
        <x:v>Practices adopted as references—not copied blindly—into IITrack's smaller 4-sprint delivery</x:v>
      </x:c>
      <x:c r="C2" s="67" t="str">
        <x:v>Practices adopted as references—not copied blindly—into IITrack's smaller 4-sprint delivery</x:v>
      </x:c>
      <x:c r="D2" s="67" t="str">
        <x:v>Practices adopted as references—not copied blindly—into IITrack's smaller 4-sprint delivery</x:v>
      </x:c>
    </x:row>
    <x:row r="3">
      <x:c r="A3" s="68"/>
      <x:c r="B3" s="68"/>
      <x:c r="C3" s="68"/>
      <x:c r="D3" s="68"/>
    </x:row>
    <x:row r="4" ht="28" customHeight="1">
      <x:c r="A4" s="69" t="str">
        <x:v>Benchmark practice</x:v>
      </x:c>
      <x:c r="B4" s="69" t="str">
        <x:v>Evidence from NoLimit</x:v>
      </x:c>
      <x:c r="C4" s="69" t="str">
        <x:v>Application to IITrack</x:v>
      </x:c>
      <x:c r="D4" s="69" t="str">
        <x:v>Source URL</x:v>
      </x:c>
    </x:row>
    <x:row r="5" ht="64" customHeight="1">
      <x:c r="A5" s="70" t="str">
        <x:v>Explicit dependency/decision issues</x:v>
      </x:c>
      <x:c r="B5" s="76" t="str">
        <x:v>NoLimit creates DEP issues with due sprint, owner/output, Blocks, and source.</x:v>
      </x:c>
      <x:c r="C5" s="76" t="str">
        <x:v>Create DEP-01…DEP-08 before feature issues; review them first in stand-up.</x:v>
      </x:c>
      <x:c r="D5" s="130" t="str">
        <x:v>https://github.com/IIT-Learning-Session/nolimit-billing-system-planning/issues/1</x:v>
      </x:c>
    </x:row>
    <x:row r="6" ht="64" customHeight="1">
      <x:c r="A6" s="72" t="str">
        <x:v>Source hierarchy and change control</x:v>
      </x:c>
      <x:c r="B6" s="78" t="str">
        <x:v>NoLimit has a governance task to align source hierarchy, timeline, and delivery rules.</x:v>
      </x:c>
      <x:c r="C6" s="78" t="str">
        <x:v>State PRD 30 Aug as authoritative over Charter 28 Aug; changes to Must require stakeholder change control.</x:v>
      </x:c>
      <x:c r="D6" s="131" t="str">
        <x:v>https://github.com/IIT-Learning-Session/nolimit-billing-system-planning/issues/12</x:v>
      </x:c>
    </x:row>
    <x:row r="7" ht="64" customHeight="1">
      <x:c r="A7" s="72" t="str">
        <x:v>Parent feature → task decomposition</x:v>
      </x:c>
      <x:c r="B7" s="78" t="str">
        <x:v>NoLimit parent features carry estimate, workstream, blocked-by, sub-issues, feature acceptance, and references.</x:v>
      </x:c>
      <x:c r="C7" s="78" t="str">
        <x:v>Use feature ID as parent and backlog rows as child tasks; keep acceptance/UAT traceability on every child.</x:v>
      </x:c>
      <x:c r="D7" s="131" t="str">
        <x:v>https://github.com/IIT-Learning-Session/nolimit-billing-system-planning/issues/13</x:v>
      </x:c>
    </x:row>
    <x:row r="8" ht="64" customHeight="1">
      <x:c r="A8" s="72" t="str">
        <x:v>Foundation as real backlog</x:v>
      </x:c>
      <x:c r="B8" s="78" t="str">
        <x:v>NoLimit separately plans environment, skeleton, CI, README, and health checks.</x:v>
      </x:c>
      <x:c r="C8" s="78" t="str">
        <x:v>INF-01…INF-03 consume Sprint 0 capacity; they are not invisible or outside the 252h cap.</x:v>
      </x:c>
      <x:c r="D8" s="131" t="str">
        <x:v>https://github.com/IIT-Learning-Session/nolimit-billing-system-planning/issues/16</x:v>
      </x:c>
    </x:row>
    <x:row r="9" ht="64" customHeight="1">
      <x:c r="A9" s="72" t="str">
        <x:v>UAT as executable work</x:v>
      </x:c>
      <x:c r="B9" s="78" t="str">
        <x:v>NoLimit separates scenario execution, evidence, triage, and findings.</x:v>
      </x:c>
      <x:c r="C9" s="78" t="str">
        <x:v>Reserve Sprint 3 capacity for RTM, test data, evidence, triage, and retest; do not treat UAT as a meeting only.</x:v>
      </x:c>
      <x:c r="D9" s="131" t="str">
        <x:v>https://github.com/IIT-Learning-Session/nolimit-billing-system-planning/issues/164</x:v>
      </x:c>
    </x:row>
    <x:row r="10" ht="64" customHeight="1">
      <x:c r="A10" s="72" t="str">
        <x:v>Bug severity and retest evidence</x:v>
      </x:c>
      <x:c r="B10" s="78" t="str">
        <x:v>NoLimit requires separate bug issues with severity, reproduction, expected/actual, fix PR, and retest.</x:v>
      </x:c>
      <x:c r="C10" s="78" t="str">
        <x:v>Use P0/P1/P2 defect issues; acceptance blocks on Critical/P0 and blocking High/P1.</x:v>
      </x:c>
      <x:c r="D10" s="131" t="str">
        <x:v>https://github.com/IIT-Learning-Session/nolimit-billing-system-planning/issues/167</x:v>
      </x:c>
    </x:row>
    <x:row r="11" ht="64" customHeight="1">
      <x:c r="A11" s="74" t="str">
        <x:v>Handover as a deliverable</x:v>
      </x:c>
      <x:c r="B11" s="80" t="str">
        <x:v>NoLimit plans technical docs, user manual, asset transfer, and training as feature work.</x:v>
      </x:c>
      <x:c r="C11" s="80" t="str">
        <x:v>Keep S3-X07/X08 in capacity; do not leave documentation for after BAST.</x:v>
      </x:c>
      <x:c r="D11" s="132" t="str">
        <x:v>https://github.com/IIT-Learning-Session/nolimit-billing-system-planning/issues/175</x:v>
      </x:c>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58" hidden="0" customWidth="1"/>
    <x:col min="4" max="4" width="60" hidden="0" customWidth="1"/>
  </x:cols>
  <x:sheetData>
    <x:row r="1" ht="30" customHeight="1">
      <x:c r="A1" s="66" t="str">
        <x:v>Sources &amp; Planning Rules</x:v>
      </x:c>
      <x:c r="B1" s="66" t="str">
        <x:v>Sources &amp; Planning Rules</x:v>
      </x:c>
      <x:c r="C1" s="66" t="str">
        <x:v>Sources &amp; Planning Rules</x:v>
      </x:c>
      <x:c r="D1" s="66" t="str">
        <x:v>Sources &amp; Planning Rules</x:v>
      </x:c>
    </x:row>
    <x:row r="2" ht="26" customHeight="1">
      <x:c r="A2" s="67" t="str">
        <x:v>Audit trail for assumptions, source hierarchy, and issue conventions</x:v>
      </x:c>
      <x:c r="B2" s="67" t="str">
        <x:v>Audit trail for assumptions, source hierarchy, and issue conventions</x:v>
      </x:c>
      <x:c r="C2" s="67" t="str">
        <x:v>Audit trail for assumptions, source hierarchy, and issue conventions</x:v>
      </x:c>
      <x:c r="D2" s="67" t="str">
        <x:v>Audit trail for assumptions, source hierarchy, and issue conventions</x:v>
      </x:c>
    </x:row>
    <x:row r="3">
      <x:c r="A3" s="68"/>
      <x:c r="B3" s="68"/>
      <x:c r="C3" s="68"/>
      <x:c r="D3" s="68"/>
    </x:row>
    <x:row r="4" ht="28" customHeight="1">
      <x:c r="A4" s="69" t="str">
        <x:v>Priority</x:v>
      </x:c>
      <x:c r="B4" s="69" t="str">
        <x:v>Source / rule</x:v>
      </x:c>
      <x:c r="C4" s="69" t="str">
        <x:v>Use in this plan</x:v>
      </x:c>
      <x:c r="D4" s="69" t="str">
        <x:v>Notes</x:v>
      </x:c>
    </x:row>
    <x:row r="5" ht="46" customHeight="1">
      <x:c r="A5" s="70" t="n">
        <x:v>1</x:v>
      </x:c>
      <x:c r="B5" s="76" t="str">
        <x:v>PRD IITrack - Revised.docx (Last update 30 Aug 2026)</x:v>
      </x:c>
      <x:c r="C5" s="76" t="str">
        <x:v>Authoritative for scope, MoSCoW, acceptance, timeline, risks, and 252h hard cap</x:v>
      </x:c>
      <x:c r="D5" s="71" t="str">
        <x:v>Overrides conflicting priority/timeline statements in older Charter</x:v>
      </x:c>
    </x:row>
    <x:row r="6" ht="46" customHeight="1">
      <x:c r="A6" s="72" t="n">
        <x:v>2</x:v>
      </x:c>
      <x:c r="B6" s="78" t="str">
        <x:v>IITrack Project Charter.xlsx (Updated 28 Aug 2026)</x:v>
      </x:c>
      <x:c r="C6" s="78" t="str">
        <x:v>Task decomposition and engineering-hour estimates</x:v>
      </x:c>
      <x:c r="D6" s="73" t="str">
        <x:v>Reclassified using PRD final priorities; foundation/cross-cutting added inside cap</x:v>
      </x:c>
    </x:row>
    <x:row r="7" ht="46" customHeight="1">
      <x:c r="A7" s="72" t="n">
        <x:v>3</x:v>
      </x:c>
      <x:c r="B7" s="78" t="str">
        <x:v>NoLimit Billing System Planning repository</x:v>
      </x:c>
      <x:c r="C7" s="78" t="str">
        <x:v>Benchmark issue hierarchy, dependency handling, UAT/defect/handover patterns</x:v>
      </x:c>
      <x:c r="D7" s="73" t="str">
        <x:v>https://github.com/IIT-Learning-Session/nolimit-billing-system-planning</x:v>
      </x:c>
    </x:row>
    <x:row r="8" ht="46" customHeight="1">
      <x:c r="A8" s="72" t="n">
        <x:v>4</x:v>
      </x:c>
      <x:c r="B8" s="78" t="str">
        <x:v>Capacity assumption</x:v>
      </x:c>
      <x:c r="C8" s="78" t="str">
        <x:v>2 developers × 18 h/week; formal hard cap 252 h</x:v>
      </x:c>
      <x:c r="D8" s="73" t="str">
        <x:v>No external PM/stakeholder hours counted as engineering capacity</x:v>
      </x:c>
    </x:row>
    <x:row r="9" ht="46" customHeight="1">
      <x:c r="A9" s="72" t="n">
        <x:v>5</x:v>
      </x:c>
      <x:c r="B9" s="78" t="str">
        <x:v>Owner assumption</x:v>
      </x:c>
      <x:c r="C9" s="78" t="str">
        <x:v>Both developers are full-stack hybrid</x:v>
      </x:c>
      <x:c r="D9" s="73" t="str">
        <x:v>Dev A leads domain/backend; Dev B leads UI/integration; rebalance at sprint planning</x:v>
      </x:c>
    </x:row>
    <x:row r="10" ht="46" customHeight="1">
      <x:c r="A10" s="72" t="n">
        <x:v>6</x:v>
      </x:c>
      <x:c r="B10" s="78" t="str">
        <x:v>Definition of Ready</x:v>
      </x:c>
      <x:c r="C10" s="78" t="str">
        <x:v>Owner, estimate, acceptance criteria, UAT reference, dependencies, and source are present</x:v>
      </x:c>
      <x:c r="D10" s="73" t="str">
        <x:v>Dependencies unresolved &gt;2 working days are escalated</x:v>
      </x:c>
    </x:row>
    <x:row r="11" ht="46" customHeight="1">
      <x:c r="A11" s="72" t="n">
        <x:v>7</x:v>
      </x:c>
      <x:c r="B11" s="78" t="str">
        <x:v>Definition of Done</x:v>
      </x:c>
      <x:c r="C11" s="78" t="str">
        <x:v>Tests first/fail once; all AC tests pass; peer review; pipeline green; audit verified; clear errors; docs updated</x:v>
      </x:c>
      <x:c r="D11" s="73" t="str">
        <x:v>Directly based on PRD §5</x:v>
      </x:c>
    </x:row>
    <x:row r="12" ht="46" customHeight="1">
      <x:c r="A12" s="72" t="n">
        <x:v>8</x:v>
      </x:c>
      <x:c r="B12" s="78" t="str">
        <x:v>Priority mapping</x:v>
      </x:c>
      <x:c r="C12" s="78" t="str">
        <x:v>Must = P0 committed; pulled Should = P1 stretch; Could = P2 deferred</x:v>
      </x:c>
      <x:c r="D12" s="73" t="str">
        <x:v>MoSCoW controls scope; P-level controls execution order/severity</x:v>
      </x:c>
    </x:row>
    <x:row r="13" ht="46" customHeight="1">
      <x:c r="A13" s="74" t="n">
        <x:v>9</x:v>
      </x:c>
      <x:c r="B13" s="80" t="str">
        <x:v>Change control</x:v>
      </x:c>
      <x:c r="C13" s="80" t="str">
        <x:v>No Must-Have may be deferred without stakeholder approval</x:v>
      </x:c>
      <x:c r="D13" s="75" t="str">
        <x:v>First remove unpulled/pulled stretch, then reforecast cross-cutting; protect acceptance</x:v>
      </x:c>
    </x:row>
  </x:sheetData>
  <x:mergeCells>
    <x:mergeCell ref="A1:D1"/>
    <x:mergeCell ref="A2:D2"/>
  </x:mergeCells>
  <x:pageMargins left="0.7" right="0.7" top="0.75" bottom="0.75" header="0.3" footer="0.3"/>
</x:worksheet>
</file>